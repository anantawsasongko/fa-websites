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 Lead" sheetId="1" state="visible" r:id="rId1"/>
    <sheet xmlns:r="http://schemas.openxmlformats.org/officeDocument/2006/relationships" name="VD Program" sheetId="2" state="visible" r:id="rId2"/>
    <sheet xmlns:r="http://schemas.openxmlformats.org/officeDocument/2006/relationships" name="VD.1 Analisis Konten pada" sheetId="3" state="visible" r:id="rId3"/>
    <sheet xmlns:r="http://schemas.openxmlformats.org/officeDocument/2006/relationships" name="VD.2 Tinjauan Dokumentasi" sheetId="4" state="visible" r:id="rId4"/>
    <sheet xmlns:r="http://schemas.openxmlformats.org/officeDocument/2006/relationships" name="VD.3 Kelengkapan Konfirmasi" sheetId="5" state="visible" r:id="rId5"/>
    <sheet xmlns:r="http://schemas.openxmlformats.org/officeDocument/2006/relationships" name="Keterang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VD · Beban Operasional &amp; Kerugian Penurunan Nilai</t>
        </is>
      </c>
      <c r="I2" s="3" t="inlineStr">
        <is>
          <t>Indeks KK</t>
        </is>
      </c>
      <c r="J2" s="4" t="inlineStr">
        <is>
          <t>VD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VD-1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VD-2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VD-3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VD-4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VD-5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VD-6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VD-7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VD-8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O</t>
        </is>
      </c>
      <c r="B21" s="17" t="inlineStr">
        <is>
          <t>Keterjadian</t>
        </is>
      </c>
      <c r="C21" s="18" t="inlineStr">
        <is>
          <t>VD.1, VD.2</t>
        </is>
      </c>
      <c r="D21" s="19" t="n"/>
      <c r="E21" s="20">
        <f>COUNTIF('VD Program'!$D$8:$D$10,"X")</f>
        <v/>
      </c>
      <c r="F21" s="20">
        <f>COUNTIFS('VD Program'!$D$8:$D$10,"X",'VD Program'!$I$8:$I$10,"Selesai")</f>
        <v/>
      </c>
      <c r="G21" s="20">
        <f>COUNTIFS('VD Program'!$D$8:$D$10,"X",'VD Program'!$J$8:$J$10,"Pengecualian")</f>
        <v/>
      </c>
      <c r="H21" s="16">
        <f>IF(E21=0,"n/a",IF(G21&gt;0,"TT",IF(F21+COUNTIFS('VD Program'!$D$8:$D$10,"X",'VD Program'!$I$8:$I$10,"Tidak Relevan")&lt;E21,"BD",IF(F21=0,"n/a",IF(COUNTIFS('VD Program'!$D$8:$D$10,"X",'VD Program'!$J$8:$J$10,"Koreksi (AJE)")&gt;0,"T-K","T")))))</f>
        <v/>
      </c>
      <c r="I21" s="21" t="n"/>
      <c r="J21" s="21" t="n"/>
    </row>
    <row r="22" ht="30" customHeight="1">
      <c r="A22" s="16" t="inlineStr">
        <is>
          <t>M</t>
        </is>
      </c>
      <c r="B22" s="17" t="inlineStr">
        <is>
          <t>Pengukuran</t>
        </is>
      </c>
      <c r="C22" s="18" t="inlineStr">
        <is>
          <t>VD.1, VD.2</t>
        </is>
      </c>
      <c r="D22" s="19" t="n"/>
      <c r="E22" s="20">
        <f>COUNTIF('VD Program'!$E$8:$E$10,"X")</f>
        <v/>
      </c>
      <c r="F22" s="20">
        <f>COUNTIFS('VD Program'!$E$8:$E$10,"X",'VD Program'!$I$8:$I$10,"Selesai")</f>
        <v/>
      </c>
      <c r="G22" s="20">
        <f>COUNTIFS('VD Program'!$E$8:$E$10,"X",'VD Program'!$J$8:$J$10,"Pengecualian")</f>
        <v/>
      </c>
      <c r="H22" s="16">
        <f>IF(E22=0,"n/a",IF(G22&gt;0,"TT",IF(F22+COUNTIFS('VD Program'!$E$8:$E$10,"X",'VD Program'!$I$8:$I$10,"Tidak Relevan")&lt;E22,"BD",IF(F22=0,"n/a",IF(COUNTIFS('VD Program'!$E$8:$E$10,"X",'VD Program'!$J$8:$J$10,"Koreksi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VD.1, VD.2, VD.3</t>
        </is>
      </c>
      <c r="D23" s="19" t="n"/>
      <c r="E23" s="20">
        <f>COUNTIF('VD Program'!$F$8:$F$10,"X")</f>
        <v/>
      </c>
      <c r="F23" s="20">
        <f>COUNTIFS('VD Program'!$F$8:$F$10,"X",'VD Program'!$I$8:$I$10,"Selesai")</f>
        <v/>
      </c>
      <c r="G23" s="20">
        <f>COUNTIFS('VD Program'!$F$8:$F$10,"X",'VD Program'!$J$8:$J$10,"Pengecualian")</f>
        <v/>
      </c>
      <c r="H23" s="16">
        <f>IF(E23=0,"n/a",IF(G23&gt;0,"TT",IF(F23+COUNTIFS('VD Program'!$F$8:$F$10,"X",'VD Program'!$I$8:$I$10,"Tidak Relevan")&lt;E23,"BD",IF(F23=0,"n/a",IF(COUNTIFS('VD Program'!$F$8:$F$10,"X",'VD Program'!$J$8:$J$10,"Koreksi (AJE)")&gt;0,"T-K","T")))))</f>
        <v/>
      </c>
      <c r="I23" s="21" t="n"/>
      <c r="J23" s="21" t="n"/>
    </row>
    <row r="24" ht="30" customHeight="1">
      <c r="A24" s="16" t="inlineStr">
        <is>
          <t>-</t>
        </is>
      </c>
      <c r="B24" s="17" t="inlineStr">
        <is>
          <t>Tidak Relevan (Akun Laba Rugi)</t>
        </is>
      </c>
      <c r="C24" s="18" t="inlineStr">
        <is>
          <t>-</t>
        </is>
      </c>
      <c r="D24" s="19" t="n"/>
      <c r="E24" s="20" t="inlineStr">
        <is>
          <t>-</t>
        </is>
      </c>
      <c r="F24" s="20" t="inlineStr">
        <is>
          <t>-</t>
        </is>
      </c>
      <c r="G24" s="20" t="inlineStr">
        <is>
          <t>-</t>
        </is>
      </c>
      <c r="H24" s="16" t="inlineStr">
        <is>
          <t>n/a</t>
        </is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VD.1, VD.3</t>
        </is>
      </c>
      <c r="D25" s="19" t="n"/>
      <c r="E25" s="20">
        <f>COUNTIF('VD Program'!$H$8:$H$10,"X")</f>
        <v/>
      </c>
      <c r="F25" s="20">
        <f>COUNTIFS('VD Program'!$H$8:$H$10,"X",'VD Program'!$I$8:$I$10,"Selesai")</f>
        <v/>
      </c>
      <c r="G25" s="20">
        <f>COUNTIFS('VD Program'!$H$8:$H$10,"X",'VD Program'!$J$8:$J$10,"Pengecualian")</f>
        <v/>
      </c>
      <c r="H25" s="16">
        <f>IF(E25=0,"n/a",IF(G25&gt;0,"TT",IF(F25+COUNTIFS('VD Program'!$H$8:$H$10,"X",'VD Program'!$I$8:$I$10,"Tidak Relevan")&lt;E25,"BD",IF(F25=0,"n/a",IF(COUNTIFS('VD Program'!$H$8:$H$10,"X",'VD Program'!$J$8:$J$10,"Koreksi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beban Operasional &amp; Kerugian Penurunan Nilai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VD · Beban Operasional &amp; Kerugian Penurunan Nilai</t>
        </is>
      </c>
      <c r="K2" s="3" t="inlineStr">
        <is>
          <t>Indeks KK</t>
        </is>
      </c>
      <c r="L2" s="4" t="inlineStr">
        <is>
          <t>VD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O</t>
        </is>
      </c>
      <c r="E7" s="10" t="inlineStr">
        <is>
          <t>M</t>
        </is>
      </c>
      <c r="F7" s="10" t="inlineStr">
        <is>
          <t>C</t>
        </is>
      </c>
      <c r="G7" s="10" t="inlineStr">
        <is>
          <t>-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VD.1</t>
        </is>
      </c>
      <c r="B8" s="18" t="inlineStr">
        <is>
          <t>Analisis Konten pada Beban Umum Administrasi dan Beban Umum Lainnya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-</t>
        </is>
      </c>
      <c r="H8" s="20" t="inlineStr">
        <is>
          <t>X</t>
        </is>
      </c>
      <c r="I8" s="26">
        <f>IF('VD.1 Analisis Konten pada'!$C$7="","Belum",'VD.1 Analisis Konten pada'!$C$7)</f>
        <v/>
      </c>
      <c r="J8" s="17">
        <f>IF('VD.1 Analisis Konten pada'!$C$8="","",'VD.1 Analisis Konten pada'!$C$8)</f>
        <v/>
      </c>
      <c r="K8" s="17">
        <f>IF('VD.1 Analisis Konten pada'!$C$9="","",'VD.1 Analisis Konten pada'!$C$9)</f>
        <v/>
      </c>
      <c r="L8" s="18" t="inlineStr">
        <is>
          <t>VD.1 Analisis Konten pada</t>
        </is>
      </c>
    </row>
    <row r="9" ht="28" customHeight="1">
      <c r="A9" s="26" t="inlineStr">
        <is>
          <t>VD.2</t>
        </is>
      </c>
      <c r="B9" s="18" t="inlineStr">
        <is>
          <t>Tinjauan Dokumentasi Penunjang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-</t>
        </is>
      </c>
      <c r="H9" s="20" t="n"/>
      <c r="I9" s="26">
        <f>IF('VD.2 Tinjauan Dokumentasi'!$C$7="","Belum",'VD.2 Tinjauan Dokumentasi'!$C$7)</f>
        <v/>
      </c>
      <c r="J9" s="17">
        <f>IF('VD.2 Tinjauan Dokumentasi'!$C$8="","",'VD.2 Tinjauan Dokumentasi'!$C$8)</f>
        <v/>
      </c>
      <c r="K9" s="17">
        <f>IF('VD.2 Tinjauan Dokumentasi'!$C$9="","",'VD.2 Tinjauan Dokumentasi'!$C$9)</f>
        <v/>
      </c>
      <c r="L9" s="18" t="inlineStr">
        <is>
          <t>VD.2 Tinjauan Dokumentasi</t>
        </is>
      </c>
    </row>
    <row r="10" ht="28" customHeight="1">
      <c r="A10" s="26" t="inlineStr">
        <is>
          <t>VD.3</t>
        </is>
      </c>
      <c r="B10" s="18" t="inlineStr">
        <is>
          <t>Kelengkapan Konfirmasi dari Pengacara Perusahaan</t>
        </is>
      </c>
      <c r="C10" s="17" t="inlineStr">
        <is>
          <t>PSP</t>
        </is>
      </c>
      <c r="D10" s="20" t="n"/>
      <c r="E10" s="20" t="n"/>
      <c r="F10" s="20" t="inlineStr">
        <is>
          <t>X</t>
        </is>
      </c>
      <c r="G10" s="20" t="inlineStr">
        <is>
          <t>-</t>
        </is>
      </c>
      <c r="H10" s="20" t="inlineStr">
        <is>
          <t>X</t>
        </is>
      </c>
      <c r="I10" s="26">
        <f>IF('VD.3 Kelengkapan Konfirmasi'!$C$7="","Belum",'VD.3 Kelengkapan Konfirmasi'!$C$7)</f>
        <v/>
      </c>
      <c r="J10" s="17">
        <f>IF('VD.3 Kelengkapan Konfirmasi'!$C$8="","",'VD.3 Kelengkapan Konfirmasi'!$C$8)</f>
        <v/>
      </c>
      <c r="K10" s="17">
        <f>IF('VD.3 Kelengkapan Konfirmasi'!$C$9="","",'VD.3 Kelengkapan Konfirmasi'!$C$9)</f>
        <v/>
      </c>
      <c r="L10" s="18" t="inlineStr">
        <is>
          <t>VD.3 Kelengkapan Konfirmasi</t>
        </is>
      </c>
    </row>
    <row r="12">
      <c r="A12" s="25" t="inlineStr">
        <is>
          <t>Status dan hasil diisi di sheet KK anak masing-masing prosedur (sel kuning bagian A). Program ini dan jawaban asersi di Lead terisi otomatis.</t>
        </is>
      </c>
    </row>
    <row r="13">
      <c r="A13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VD.1 · Analisis Konten pada Beban Umum Administrasi dan Beban Umum Lainnya</t>
        </is>
      </c>
      <c r="H2" s="3" t="inlineStr">
        <is>
          <t>Indeks KK</t>
        </is>
      </c>
      <c r="I2" s="4" t="inlineStr">
        <is>
          <t>VD.1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Analisis isi akun beban umum per jenis; bandingkan dengan tahun lalu dan anggaran.</t>
        </is>
      </c>
    </row>
    <row r="14">
      <c r="A14" s="7" t="inlineStr">
        <is>
          <t>C. Pengujian</t>
        </is>
      </c>
    </row>
    <row r="15">
      <c r="A15" s="3" t="inlineStr">
        <is>
          <t>Ambang Selisih (Rp)</t>
        </is>
      </c>
      <c r="B15" s="8" t="n"/>
    </row>
    <row r="16" ht="30" customHeight="1">
      <c r="A16" s="10" t="inlineStr">
        <is>
          <t>Bulan</t>
        </is>
      </c>
      <c r="B16" s="10" t="inlineStr">
        <is>
          <t>2025 Aktual</t>
        </is>
      </c>
      <c r="C16" s="10" t="inlineStr">
        <is>
          <t>2024 Aktual</t>
        </is>
      </c>
      <c r="D16" s="10" t="inlineStr">
        <is>
          <t>Selisih</t>
        </is>
      </c>
      <c r="E16" s="10" t="inlineStr">
        <is>
          <t>%</t>
        </is>
      </c>
      <c r="F16" s="10" t="inlineStr">
        <is>
          <t>Ekspektasi 2025</t>
        </is>
      </c>
      <c r="G16" s="10" t="inlineStr">
        <is>
          <t>Selisih thd Ekspektasi</t>
        </is>
      </c>
      <c r="H16" s="10" t="inlineStr">
        <is>
          <t>Perlu Penjelasan?</t>
        </is>
      </c>
      <c r="I16" s="10" t="inlineStr">
        <is>
          <t>Penjelasan dan Bukti</t>
        </is>
      </c>
    </row>
    <row r="17">
      <c r="A17" s="11" t="inlineStr">
        <is>
          <t>Januari</t>
        </is>
      </c>
      <c r="B17" s="8" t="n"/>
      <c r="C17" s="8" t="n"/>
      <c r="D17" s="12">
        <f>B17-C17</f>
        <v/>
      </c>
      <c r="E17" s="13">
        <f>IF(C17=0,"",D17/C17)</f>
        <v/>
      </c>
      <c r="F17" s="8" t="n"/>
      <c r="G17" s="12">
        <f>IF(F17="","",B17-F17)</f>
        <v/>
      </c>
      <c r="H17" s="11">
        <f>IF(OR(G17="",$B$15=""),"",IF(ABS(G17)&gt;$B$15,"Ya","Tidak"))</f>
        <v/>
      </c>
      <c r="I17" s="24" t="n"/>
    </row>
    <row r="18">
      <c r="A18" s="11" t="inlineStr">
        <is>
          <t>Februari</t>
        </is>
      </c>
      <c r="B18" s="8" t="n"/>
      <c r="C18" s="8" t="n"/>
      <c r="D18" s="12">
        <f>B18-C18</f>
        <v/>
      </c>
      <c r="E18" s="13">
        <f>IF(C18=0,"",D18/C18)</f>
        <v/>
      </c>
      <c r="F18" s="8" t="n"/>
      <c r="G18" s="12">
        <f>IF(F18="","",B18-F18)</f>
        <v/>
      </c>
      <c r="H18" s="11">
        <f>IF(OR(G18="",$B$15=""),"",IF(ABS(G18)&gt;$B$15,"Ya","Tidak"))</f>
        <v/>
      </c>
      <c r="I18" s="24" t="n"/>
    </row>
    <row r="19">
      <c r="A19" s="11" t="inlineStr">
        <is>
          <t>Maret</t>
        </is>
      </c>
      <c r="B19" s="8" t="n"/>
      <c r="C19" s="8" t="n"/>
      <c r="D19" s="12">
        <f>B19-C19</f>
        <v/>
      </c>
      <c r="E19" s="13">
        <f>IF(C19=0,"",D19/C19)</f>
        <v/>
      </c>
      <c r="F19" s="8" t="n"/>
      <c r="G19" s="12">
        <f>IF(F19="","",B19-F19)</f>
        <v/>
      </c>
      <c r="H19" s="11">
        <f>IF(OR(G19="",$B$15=""),"",IF(ABS(G19)&gt;$B$15,"Ya","Tidak"))</f>
        <v/>
      </c>
      <c r="I19" s="24" t="n"/>
    </row>
    <row r="20">
      <c r="A20" s="11" t="inlineStr">
        <is>
          <t>April</t>
        </is>
      </c>
      <c r="B20" s="8" t="n"/>
      <c r="C20" s="8" t="n"/>
      <c r="D20" s="12">
        <f>B20-C20</f>
        <v/>
      </c>
      <c r="E20" s="13">
        <f>IF(C20=0,"",D20/C20)</f>
        <v/>
      </c>
      <c r="F20" s="8" t="n"/>
      <c r="G20" s="12">
        <f>IF(F20="","",B20-F20)</f>
        <v/>
      </c>
      <c r="H20" s="11">
        <f>IF(OR(G20="",$B$15=""),"",IF(ABS(G20)&gt;$B$15,"Ya","Tidak"))</f>
        <v/>
      </c>
      <c r="I20" s="24" t="n"/>
    </row>
    <row r="21">
      <c r="A21" s="11" t="inlineStr">
        <is>
          <t>Mei</t>
        </is>
      </c>
      <c r="B21" s="8" t="n"/>
      <c r="C21" s="8" t="n"/>
      <c r="D21" s="12">
        <f>B21-C21</f>
        <v/>
      </c>
      <c r="E21" s="13">
        <f>IF(C21=0,"",D21/C21)</f>
        <v/>
      </c>
      <c r="F21" s="8" t="n"/>
      <c r="G21" s="12">
        <f>IF(F21="","",B21-F21)</f>
        <v/>
      </c>
      <c r="H21" s="11">
        <f>IF(OR(G21="",$B$15=""),"",IF(ABS(G21)&gt;$B$15,"Ya","Tidak"))</f>
        <v/>
      </c>
      <c r="I21" s="24" t="n"/>
    </row>
    <row r="22">
      <c r="A22" s="11" t="inlineStr">
        <is>
          <t>Juni</t>
        </is>
      </c>
      <c r="B22" s="8" t="n"/>
      <c r="C22" s="8" t="n"/>
      <c r="D22" s="12">
        <f>B22-C22</f>
        <v/>
      </c>
      <c r="E22" s="13">
        <f>IF(C22=0,"",D22/C22)</f>
        <v/>
      </c>
      <c r="F22" s="8" t="n"/>
      <c r="G22" s="12">
        <f>IF(F22="","",B22-F22)</f>
        <v/>
      </c>
      <c r="H22" s="11">
        <f>IF(OR(G22="",$B$15=""),"",IF(ABS(G22)&gt;$B$15,"Ya","Tidak"))</f>
        <v/>
      </c>
      <c r="I22" s="24" t="n"/>
    </row>
    <row r="23">
      <c r="A23" s="11" t="inlineStr">
        <is>
          <t>Juli</t>
        </is>
      </c>
      <c r="B23" s="8" t="n"/>
      <c r="C23" s="8" t="n"/>
      <c r="D23" s="12">
        <f>B23-C23</f>
        <v/>
      </c>
      <c r="E23" s="13">
        <f>IF(C23=0,"",D23/C23)</f>
        <v/>
      </c>
      <c r="F23" s="8" t="n"/>
      <c r="G23" s="12">
        <f>IF(F23="","",B23-F23)</f>
        <v/>
      </c>
      <c r="H23" s="11">
        <f>IF(OR(G23="",$B$15=""),"",IF(ABS(G23)&gt;$B$15,"Ya","Tidak"))</f>
        <v/>
      </c>
      <c r="I23" s="24" t="n"/>
    </row>
    <row r="24">
      <c r="A24" s="11" t="inlineStr">
        <is>
          <t>Agustus</t>
        </is>
      </c>
      <c r="B24" s="8" t="n"/>
      <c r="C24" s="8" t="n"/>
      <c r="D24" s="12">
        <f>B24-C24</f>
        <v/>
      </c>
      <c r="E24" s="13">
        <f>IF(C24=0,"",D24/C24)</f>
        <v/>
      </c>
      <c r="F24" s="8" t="n"/>
      <c r="G24" s="12">
        <f>IF(F24="","",B24-F24)</f>
        <v/>
      </c>
      <c r="H24" s="11">
        <f>IF(OR(G24="",$B$15=""),"",IF(ABS(G24)&gt;$B$15,"Ya","Tidak"))</f>
        <v/>
      </c>
      <c r="I24" s="24" t="n"/>
    </row>
    <row r="25">
      <c r="A25" s="11" t="inlineStr">
        <is>
          <t>September</t>
        </is>
      </c>
      <c r="B25" s="8" t="n"/>
      <c r="C25" s="8" t="n"/>
      <c r="D25" s="12">
        <f>B25-C25</f>
        <v/>
      </c>
      <c r="E25" s="13">
        <f>IF(C25=0,"",D25/C25)</f>
        <v/>
      </c>
      <c r="F25" s="8" t="n"/>
      <c r="G25" s="12">
        <f>IF(F25="","",B25-F25)</f>
        <v/>
      </c>
      <c r="H25" s="11">
        <f>IF(OR(G25="",$B$15=""),"",IF(ABS(G25)&gt;$B$15,"Ya","Tidak"))</f>
        <v/>
      </c>
      <c r="I25" s="24" t="n"/>
    </row>
    <row r="26">
      <c r="A26" s="11" t="inlineStr">
        <is>
          <t>Oktober</t>
        </is>
      </c>
      <c r="B26" s="8" t="n"/>
      <c r="C26" s="8" t="n"/>
      <c r="D26" s="12">
        <f>B26-C26</f>
        <v/>
      </c>
      <c r="E26" s="13">
        <f>IF(C26=0,"",D26/C26)</f>
        <v/>
      </c>
      <c r="F26" s="8" t="n"/>
      <c r="G26" s="12">
        <f>IF(F26="","",B26-F26)</f>
        <v/>
      </c>
      <c r="H26" s="11">
        <f>IF(OR(G26="",$B$15=""),"",IF(ABS(G26)&gt;$B$15,"Ya","Tidak"))</f>
        <v/>
      </c>
      <c r="I26" s="24" t="n"/>
    </row>
    <row r="27">
      <c r="A27" s="11" t="inlineStr">
        <is>
          <t>November</t>
        </is>
      </c>
      <c r="B27" s="8" t="n"/>
      <c r="C27" s="8" t="n"/>
      <c r="D27" s="12">
        <f>B27-C27</f>
        <v/>
      </c>
      <c r="E27" s="13">
        <f>IF(C27=0,"",D27/C27)</f>
        <v/>
      </c>
      <c r="F27" s="8" t="n"/>
      <c r="G27" s="12">
        <f>IF(F27="","",B27-F27)</f>
        <v/>
      </c>
      <c r="H27" s="11">
        <f>IF(OR(G27="",$B$15=""),"",IF(ABS(G27)&gt;$B$15,"Ya","Tidak"))</f>
        <v/>
      </c>
      <c r="I27" s="24" t="n"/>
    </row>
    <row r="28">
      <c r="A28" s="11" t="inlineStr">
        <is>
          <t>Desember</t>
        </is>
      </c>
      <c r="B28" s="8" t="n"/>
      <c r="C28" s="8" t="n"/>
      <c r="D28" s="12">
        <f>B28-C28</f>
        <v/>
      </c>
      <c r="E28" s="13">
        <f>IF(C28=0,"",D28/C28)</f>
        <v/>
      </c>
      <c r="F28" s="8" t="n"/>
      <c r="G28" s="12">
        <f>IF(F28="","",B28-F28)</f>
        <v/>
      </c>
      <c r="H28" s="11">
        <f>IF(OR(G28="",$B$15=""),"",IF(ABS(G28)&gt;$B$15,"Ya","Tidak"))</f>
        <v/>
      </c>
      <c r="I28" s="24" t="n"/>
    </row>
    <row r="29">
      <c r="A29" s="9" t="inlineStr">
        <is>
          <t>Jumlah</t>
        </is>
      </c>
      <c r="B29" s="14">
        <f>SUM(B17:B28)</f>
        <v/>
      </c>
      <c r="C29" s="14">
        <f>SUM(C17:C28)</f>
        <v/>
      </c>
      <c r="D29" s="14">
        <f>SUM(D17:D28)</f>
        <v/>
      </c>
      <c r="F29" s="14">
        <f>SUM(F17:F28)</f>
        <v/>
      </c>
      <c r="G29" s="14">
        <f>SUM(G17:G28)</f>
        <v/>
      </c>
    </row>
    <row r="31">
      <c r="A31" s="28" t="inlineStr">
        <is>
          <t>Kesimpulan Pengujian</t>
        </is>
      </c>
      <c r="C31" s="24" t="n"/>
    </row>
    <row r="32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A12:I12"/>
    <mergeCell ref="E8:I8"/>
    <mergeCell ref="C31:I32"/>
    <mergeCell ref="E9:I9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VD.2 · Tinjauan Dokumentasi Penunjang</t>
        </is>
      </c>
      <c r="F2" s="3" t="inlineStr">
        <is>
          <t>Indeks KK</t>
        </is>
      </c>
      <c r="G2" s="4" t="inlineStr">
        <is>
          <t>VD.2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O Keterjadian, M Pengukuran,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Vouching sampel beban ke dokumen pendukung dan persetujuan.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VD.3 · Kelengkapan Konfirmasi dari Pengacara Perusahaan</t>
        </is>
      </c>
      <c r="F2" s="3" t="inlineStr">
        <is>
          <t>Indeks KK</t>
        </is>
      </c>
      <c r="G2" s="4" t="inlineStr">
        <is>
          <t>VD.3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beban jasa hukum dengan daftar konsultan hukum yang dikirimi konfirmasi.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