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Penempatan pada Bank Lain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</t>
        </is>
      </c>
      <c r="D21" s="19" t="n"/>
      <c r="E21" s="20">
        <f>COUNTIF('C Program'!$D$8:$D$12,"X")</f>
        <v/>
      </c>
      <c r="F21" s="20">
        <f>COUNTIFS('C Program'!$D$8:$D$12,"X",'C Program'!$I$8:$I$12,"Selesai")</f>
        <v/>
      </c>
      <c r="G21" s="20">
        <f>COUNTIFS('C Program'!$D$8:$D$12,"X",'C Program'!$J$8:$J$12,"Pengecualian")</f>
        <v/>
      </c>
      <c r="H21" s="16">
        <f>IF(E21=0,"n/a",IF(G21&gt;0,"TT",IF(F21+COUNTIFS('C Program'!$D$8:$D$12,"X",'C Program'!$I$8:$I$12,"Tidak Relevan")&lt;E21,"BD",IF(F21=0,"n/a",IF(COUNTIFS('C Program'!$D$8:$D$12,"X",'C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Program'!$E$8:$E$12,"X")</f>
        <v/>
      </c>
      <c r="F22" s="20">
        <f>COUNTIFS('C Program'!$E$8:$E$12,"X",'C Program'!$I$8:$I$12,"Selesai")</f>
        <v/>
      </c>
      <c r="G22" s="20">
        <f>COUNTIFS('C Program'!$E$8:$E$12,"X",'C Program'!$J$8:$J$12,"Pengecualian")</f>
        <v/>
      </c>
      <c r="H22" s="16">
        <f>IF(E22=0,"n/a",IF(G22&gt;0,"TT",IF(F22+COUNTIFS('C Program'!$E$8:$E$12,"X",'C Program'!$I$8:$I$12,"Tidak Relevan")&lt;E22,"BD",IF(F22=0,"n/a",IF(COUNTIFS('C Program'!$E$8:$E$12,"X",'C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</t>
        </is>
      </c>
      <c r="D23" s="19" t="n"/>
      <c r="E23" s="20">
        <f>COUNTIF('C Program'!$F$8:$F$12,"X")</f>
        <v/>
      </c>
      <c r="F23" s="20">
        <f>COUNTIFS('C Program'!$F$8:$F$12,"X",'C Program'!$I$8:$I$12,"Selesai")</f>
        <v/>
      </c>
      <c r="G23" s="20">
        <f>COUNTIFS('C Program'!$F$8:$F$12,"X",'C Program'!$J$8:$J$12,"Pengecualian")</f>
        <v/>
      </c>
      <c r="H23" s="16">
        <f>IF(E23=0,"n/a",IF(G23&gt;0,"TT",IF(F23+COUNTIFS('C Program'!$F$8:$F$12,"X",'C Program'!$I$8:$I$12,"Tidak Relevan")&lt;E23,"BD",IF(F23=0,"n/a",IF(COUNTIFS('C Program'!$F$8:$F$12,"X",'C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Program'!$G$8:$G$12,"X")</f>
        <v/>
      </c>
      <c r="F24" s="20">
        <f>COUNTIFS('C Program'!$G$8:$G$12,"X",'C Program'!$I$8:$I$12,"Selesai")</f>
        <v/>
      </c>
      <c r="G24" s="20">
        <f>COUNTIFS('C Program'!$G$8:$G$12,"X",'C Program'!$J$8:$J$12,"Pengecualian")</f>
        <v/>
      </c>
      <c r="H24" s="16">
        <f>IF(E24=0,"n/a",IF(G24&gt;0,"TT",IF(F24+COUNTIFS('C Program'!$G$8:$G$12,"X",'C Program'!$I$8:$I$12,"Tidak Relevan")&lt;E24,"BD",IF(F24=0,"n/a",IF(COUNTIFS('C Program'!$G$8:$G$12,"X",'C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Program'!$H$8:$H$12,"X")</f>
        <v/>
      </c>
      <c r="F25" s="20">
        <f>COUNTIFS('C Program'!$H$8:$H$12,"X",'C Program'!$I$8:$I$12,"Selesai")</f>
        <v/>
      </c>
      <c r="G25" s="20">
        <f>COUNTIFS('C Program'!$H$8:$H$12,"X",'C Program'!$J$8:$J$12,"Pengecualian")</f>
        <v/>
      </c>
      <c r="H25" s="16">
        <f>IF(E25=0,"n/a",IF(G25&gt;0,"TT",IF(F25+COUNTIFS('C Program'!$H$8:$H$12,"X",'C Program'!$I$8:$I$12,"Tidak Relevan")&lt;E25,"BD",IF(F25=0,"n/a",IF(COUNTIFS('C Program'!$H$8:$H$12,"X",'C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Penempatan pada Bank Lain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Penempatan pada Bank Lain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