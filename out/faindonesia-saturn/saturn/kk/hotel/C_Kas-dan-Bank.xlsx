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Lead" sheetId="1" state="visible" r:id="rId1"/>
    <sheet xmlns:r="http://schemas.openxmlformats.org/officeDocument/2006/relationships" name="C Program" sheetId="2" state="visible" r:id="rId2"/>
    <sheet xmlns:r="http://schemas.openxmlformats.org/officeDocument/2006/relationships" name="C.1 Konfirmasi Bank" sheetId="3" state="visible" r:id="rId3"/>
    <sheet xmlns:r="http://schemas.openxmlformats.org/officeDocument/2006/relationships" name="C.2 Rekonsiliasi Bank" sheetId="4" state="visible" r:id="rId4"/>
    <sheet xmlns:r="http://schemas.openxmlformats.org/officeDocument/2006/relationships" name="C.3 Pisah Batas" sheetId="5" state="visible" r:id="rId5"/>
    <sheet xmlns:r="http://schemas.openxmlformats.org/officeDocument/2006/relationships" name="C.4 Valuasi" sheetId="6" state="visible" r:id="rId6"/>
    <sheet xmlns:r="http://schemas.openxmlformats.org/officeDocument/2006/relationships" name="C.5 Cash Opname" sheetId="7" state="visible" r:id="rId7"/>
    <sheet xmlns:r="http://schemas.openxmlformats.org/officeDocument/2006/relationships" name="C.6 Rekonsiliasi Setoran Kasir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C · Kas dan Bank</t>
        </is>
      </c>
      <c r="I2" s="3" t="inlineStr">
        <is>
          <t>Indeks KK</t>
        </is>
      </c>
      <c r="J2" s="4" t="inlineStr">
        <is>
          <t>C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C-1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C-2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C-3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C-4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C-5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C-6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C-7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C-8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C.1, C.2, C.3, C.5, C.6</t>
        </is>
      </c>
      <c r="D21" s="19" t="n"/>
      <c r="E21" s="20">
        <f>COUNTIF('C Program'!$D$8:$D$13,"X")</f>
        <v/>
      </c>
      <c r="F21" s="20">
        <f>COUNTIFS('C Program'!$D$8:$D$13,"X",'C Program'!$I$8:$I$13,"Selesai")</f>
        <v/>
      </c>
      <c r="G21" s="20">
        <f>COUNTIFS('C Program'!$D$8:$D$13,"X",'C Program'!$J$8:$J$13,"Pengecualian")</f>
        <v/>
      </c>
      <c r="H21" s="16">
        <f>IF(E21=0,"n/a",IF(G21&gt;0,"TT",IF(F21+COUNTIFS('C Program'!$D$8:$D$13,"X",'C Program'!$I$8:$I$13,"Tidak Relevan")&lt;E21,"BD",IF(F21=0,"n/a",IF(COUNTIFS('C Program'!$D$8:$D$13,"X",'C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C.1, C.2, C.4</t>
        </is>
      </c>
      <c r="D22" s="19" t="n"/>
      <c r="E22" s="20">
        <f>COUNTIF('C Program'!$E$8:$E$13,"X")</f>
        <v/>
      </c>
      <c r="F22" s="20">
        <f>COUNTIFS('C Program'!$E$8:$E$13,"X",'C Program'!$I$8:$I$13,"Selesai")</f>
        <v/>
      </c>
      <c r="G22" s="20">
        <f>COUNTIFS('C Program'!$E$8:$E$13,"X",'C Program'!$J$8:$J$13,"Pengecualian")</f>
        <v/>
      </c>
      <c r="H22" s="16">
        <f>IF(E22=0,"n/a",IF(G22&gt;0,"TT",IF(F22+COUNTIFS('C Program'!$E$8:$E$13,"X",'C Program'!$I$8:$I$13,"Tidak Relevan")&lt;E22,"BD",IF(F22=0,"n/a",IF(COUNTIFS('C Program'!$E$8:$E$13,"X",'C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C.1, C.2, C.3, C.5, C.6</t>
        </is>
      </c>
      <c r="D23" s="19" t="n"/>
      <c r="E23" s="20">
        <f>COUNTIF('C Program'!$F$8:$F$13,"X")</f>
        <v/>
      </c>
      <c r="F23" s="20">
        <f>COUNTIFS('C Program'!$F$8:$F$13,"X",'C Program'!$I$8:$I$13,"Selesai")</f>
        <v/>
      </c>
      <c r="G23" s="20">
        <f>COUNTIFS('C Program'!$F$8:$F$13,"X",'C Program'!$J$8:$J$13,"Pengecualian")</f>
        <v/>
      </c>
      <c r="H23" s="16">
        <f>IF(E23=0,"n/a",IF(G23&gt;0,"TT",IF(F23+COUNTIFS('C Program'!$F$8:$F$13,"X",'C Program'!$I$8:$I$13,"Tidak Relevan")&lt;E23,"BD",IF(F23=0,"n/a",IF(COUNTIFS('C Program'!$F$8:$F$13,"X",'C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C.1</t>
        </is>
      </c>
      <c r="D24" s="19" t="n"/>
      <c r="E24" s="20">
        <f>COUNTIF('C Program'!$G$8:$G$13,"X")</f>
        <v/>
      </c>
      <c r="F24" s="20">
        <f>COUNTIFS('C Program'!$G$8:$G$13,"X",'C Program'!$I$8:$I$13,"Selesai")</f>
        <v/>
      </c>
      <c r="G24" s="20">
        <f>COUNTIFS('C Program'!$G$8:$G$13,"X",'C Program'!$J$8:$J$13,"Pengecualian")</f>
        <v/>
      </c>
      <c r="H24" s="16">
        <f>IF(E24=0,"n/a",IF(G24&gt;0,"TT",IF(F24+COUNTIFS('C Program'!$G$8:$G$13,"X",'C Program'!$I$8:$I$13,"Tidak Relevan")&lt;E24,"BD",IF(F24=0,"n/a",IF(COUNTIFS('C Program'!$G$8:$G$13,"X",'C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C.1</t>
        </is>
      </c>
      <c r="D25" s="19" t="n"/>
      <c r="E25" s="20">
        <f>COUNTIF('C Program'!$H$8:$H$13,"X")</f>
        <v/>
      </c>
      <c r="F25" s="20">
        <f>COUNTIFS('C Program'!$H$8:$H$13,"X",'C Program'!$I$8:$I$13,"Selesai")</f>
        <v/>
      </c>
      <c r="G25" s="20">
        <f>COUNTIFS('C Program'!$H$8:$H$13,"X",'C Program'!$J$8:$J$13,"Pengecualian")</f>
        <v/>
      </c>
      <c r="H25" s="16">
        <f>IF(E25=0,"n/a",IF(G25&gt;0,"TT",IF(F25+COUNTIFS('C Program'!$H$8:$H$13,"X",'C Program'!$I$8:$I$13,"Tidak Relevan")&lt;E25,"BD",IF(F25=0,"n/a",IF(COUNTIFS('C Program'!$H$8:$H$13,"X",'C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kas dan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C · Kas dan Bank</t>
        </is>
      </c>
      <c r="K2" s="3" t="inlineStr">
        <is>
          <t>Indeks KK</t>
        </is>
      </c>
      <c r="L2" s="4" t="inlineStr">
        <is>
          <t>C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C.1</t>
        </is>
      </c>
      <c r="B8" s="18" t="inlineStr">
        <is>
          <t>Konfirmasi Bank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IF('C.1 Konfirmasi Bank'!$C$7="","Belum",'C.1 Konfirmasi Bank'!$C$7)</f>
        <v/>
      </c>
      <c r="J8" s="17">
        <f>IF('C.1 Konfirmasi Bank'!$C$8="","",'C.1 Konfirmasi Bank'!$C$8)</f>
        <v/>
      </c>
      <c r="K8" s="17">
        <f>IF('C.1 Konfirmasi Bank'!$C$9="","",'C.1 Konfirmasi Bank'!$C$9)</f>
        <v/>
      </c>
      <c r="L8" s="18" t="inlineStr">
        <is>
          <t>C.1 Konfirmasi Bank</t>
        </is>
      </c>
    </row>
    <row r="9" ht="28" customHeight="1">
      <c r="A9" s="26" t="inlineStr">
        <is>
          <t>C.2</t>
        </is>
      </c>
      <c r="B9" s="18" t="inlineStr">
        <is>
          <t>Rekonsiliasi Bank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n"/>
      <c r="H9" s="20" t="n"/>
      <c r="I9" s="26">
        <f>IF('C.2 Rekonsiliasi Bank'!$C$7="","Belum",'C.2 Rekonsiliasi Bank'!$C$7)</f>
        <v/>
      </c>
      <c r="J9" s="17">
        <f>IF('C.2 Rekonsiliasi Bank'!$C$8="","",'C.2 Rekonsiliasi Bank'!$C$8)</f>
        <v/>
      </c>
      <c r="K9" s="17">
        <f>IF('C.2 Rekonsiliasi Bank'!$C$9="","",'C.2 Rekonsiliasi Bank'!$C$9)</f>
        <v/>
      </c>
      <c r="L9" s="18" t="inlineStr">
        <is>
          <t>C.2 Rekonsiliasi Bank</t>
        </is>
      </c>
    </row>
    <row r="10" ht="28" customHeight="1">
      <c r="A10" s="26" t="inlineStr">
        <is>
          <t>C.3</t>
        </is>
      </c>
      <c r="B10" s="18" t="inlineStr">
        <is>
          <t>Pisah Batas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n"/>
      <c r="I10" s="26">
        <f>IF('C.3 Pisah Batas'!$C$7="","Belum",'C.3 Pisah Batas'!$C$7)</f>
        <v/>
      </c>
      <c r="J10" s="17">
        <f>IF('C.3 Pisah Batas'!$C$8="","",'C.3 Pisah Batas'!$C$8)</f>
        <v/>
      </c>
      <c r="K10" s="17">
        <f>IF('C.3 Pisah Batas'!$C$9="","",'C.3 Pisah Batas'!$C$9)</f>
        <v/>
      </c>
      <c r="L10" s="18" t="inlineStr">
        <is>
          <t>C.3 Pisah Batas</t>
        </is>
      </c>
    </row>
    <row r="11" ht="28" customHeight="1">
      <c r="A11" s="26" t="inlineStr">
        <is>
          <t>C.4</t>
        </is>
      </c>
      <c r="B11" s="18" t="inlineStr">
        <is>
          <t>Valuasi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IF('C.4 Valuasi'!$C$7="","Belum",'C.4 Valuasi'!$C$7)</f>
        <v/>
      </c>
      <c r="J11" s="17">
        <f>IF('C.4 Valuasi'!$C$8="","",'C.4 Valuasi'!$C$8)</f>
        <v/>
      </c>
      <c r="K11" s="17">
        <f>IF('C.4 Valuasi'!$C$9="","",'C.4 Valuasi'!$C$9)</f>
        <v/>
      </c>
      <c r="L11" s="18" t="inlineStr">
        <is>
          <t>C.4 Valuasi</t>
        </is>
      </c>
    </row>
    <row r="12" ht="28" customHeight="1">
      <c r="A12" s="26" t="inlineStr">
        <is>
          <t>C.5</t>
        </is>
      </c>
      <c r="B12" s="18" t="inlineStr">
        <is>
          <t>Cash Opname</t>
        </is>
      </c>
      <c r="C12" s="17" t="inlineStr">
        <is>
          <t>Tambahan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IF('C.5 Cash Opname'!$C$7="","Belum",'C.5 Cash Opname'!$C$7)</f>
        <v/>
      </c>
      <c r="J12" s="17">
        <f>IF('C.5 Cash Opname'!$C$8="","",'C.5 Cash Opname'!$C$8)</f>
        <v/>
      </c>
      <c r="K12" s="17">
        <f>IF('C.5 Cash Opname'!$C$9="","",'C.5 Cash Opname'!$C$9)</f>
        <v/>
      </c>
      <c r="L12" s="18" t="inlineStr">
        <is>
          <t>C.5 Cash Opname</t>
        </is>
      </c>
    </row>
    <row r="13" ht="28" customHeight="1">
      <c r="A13" s="26" t="inlineStr">
        <is>
          <t>C.6</t>
        </is>
      </c>
      <c r="B13" s="18" t="inlineStr">
        <is>
          <t>Rekonsiliasi Setoran Kasir Outlet ke Night Audit</t>
        </is>
      </c>
      <c r="C13" s="17" t="inlineStr">
        <is>
          <t>Tambahan</t>
        </is>
      </c>
      <c r="D13" s="20" t="inlineStr">
        <is>
          <t>X</t>
        </is>
      </c>
      <c r="E13" s="20" t="n"/>
      <c r="F13" s="20" t="inlineStr">
        <is>
          <t>X</t>
        </is>
      </c>
      <c r="G13" s="20" t="n"/>
      <c r="H13" s="20" t="n"/>
      <c r="I13" s="26">
        <f>IF('C.6 Rekonsiliasi Setoran Kasir'!$C$7="","Belum",'C.6 Rekonsiliasi Setoran Kasir'!$C$7)</f>
        <v/>
      </c>
      <c r="J13" s="17">
        <f>IF('C.6 Rekonsiliasi Setoran Kasir'!$C$8="","",'C.6 Rekonsiliasi Setoran Kasir'!$C$8)</f>
        <v/>
      </c>
      <c r="K13" s="17">
        <f>IF('C.6 Rekonsiliasi Setoran Kasir'!$C$9="","",'C.6 Rekonsiliasi Setoran Kasir'!$C$9)</f>
        <v/>
      </c>
      <c r="L13" s="18" t="inlineStr">
        <is>
          <t>C.6 Rekonsiliasi Setoran Kasir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C.1 · Konfirmasi Bank</t>
        </is>
      </c>
      <c r="H2" s="3" t="inlineStr">
        <is>
          <t>Indeks KK</t>
        </is>
      </c>
      <c r="I2" s="4" t="inlineStr">
        <is>
          <t>C.1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Kirim konfirmasi ke seluruh bank (termasuk rekening saldo nol dan yang ditutup selama tahun berjalan). Cocokkan saldo, fasilitas, jaminan, dan pembatasan dengan buku.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5" customWidth="1" min="4" max="4"/>
    <col width="15" customWidth="1" min="5" max="5"/>
    <col width="14" customWidth="1" min="6" max="6"/>
    <col width="16" customWidth="1" min="7" max="7"/>
    <col width="16" customWidth="1" min="8" max="8"/>
    <col width="14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C.2 · Rekonsiliasi Bank</t>
        </is>
      </c>
      <c r="I2" s="3" t="inlineStr">
        <is>
          <t>Indeks KK</t>
        </is>
      </c>
      <c r="J2" s="4" t="inlineStr">
        <is>
          <t>C.2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bank per tanggal neraca: cocokkan saldo rekening koran dan buku, telusuri setoran dalam perjalanan dan cek beredar ke rekening koran bulan berikutnya.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Bank / No. Rekening</t>
        </is>
      </c>
      <c r="C15" s="10" t="inlineStr">
        <is>
          <t>Saldo Rekening Koran</t>
        </is>
      </c>
      <c r="D15" s="10" t="inlineStr">
        <is>
          <t>Setoran dalam Perjalanan</t>
        </is>
      </c>
      <c r="E15" s="10" t="inlineStr">
        <is>
          <t>Cek/Giro Beredar</t>
        </is>
      </c>
      <c r="F15" s="10" t="inlineStr">
        <is>
          <t>Koreksi Lain</t>
        </is>
      </c>
      <c r="G15" s="10" t="inlineStr">
        <is>
          <t>Saldo Rekonsiliasi</t>
        </is>
      </c>
      <c r="H15" s="10" t="inlineStr">
        <is>
          <t>Saldo per Buku</t>
        </is>
      </c>
      <c r="I15" s="10" t="inlineStr">
        <is>
          <t>Selisih</t>
        </is>
      </c>
      <c r="J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8" t="n"/>
      <c r="F16" s="8" t="n"/>
      <c r="G16" s="12">
        <f>C16+D16-E16+F16</f>
        <v/>
      </c>
      <c r="H16" s="8" t="n"/>
      <c r="I16" s="12">
        <f>IF(H16="","",G16-H16)</f>
        <v/>
      </c>
      <c r="J16" s="6" t="n"/>
    </row>
    <row r="17">
      <c r="A17" s="11" t="n">
        <v>2</v>
      </c>
      <c r="B17" s="6" t="n"/>
      <c r="C17" s="8" t="n"/>
      <c r="D17" s="8" t="n"/>
      <c r="E17" s="8" t="n"/>
      <c r="F17" s="8" t="n"/>
      <c r="G17" s="12">
        <f>C17+D17-E17+F17</f>
        <v/>
      </c>
      <c r="H17" s="8" t="n"/>
      <c r="I17" s="12">
        <f>IF(H17="","",G17-H17)</f>
        <v/>
      </c>
      <c r="J17" s="6" t="n"/>
    </row>
    <row r="18">
      <c r="A18" s="11" t="n">
        <v>3</v>
      </c>
      <c r="B18" s="6" t="n"/>
      <c r="C18" s="8" t="n"/>
      <c r="D18" s="8" t="n"/>
      <c r="E18" s="8" t="n"/>
      <c r="F18" s="8" t="n"/>
      <c r="G18" s="12">
        <f>C18+D18-E18+F18</f>
        <v/>
      </c>
      <c r="H18" s="8" t="n"/>
      <c r="I18" s="12">
        <f>IF(H18="","",G18-H18)</f>
        <v/>
      </c>
      <c r="J18" s="6" t="n"/>
    </row>
    <row r="19">
      <c r="A19" s="11" t="n">
        <v>4</v>
      </c>
      <c r="B19" s="6" t="n"/>
      <c r="C19" s="8" t="n"/>
      <c r="D19" s="8" t="n"/>
      <c r="E19" s="8" t="n"/>
      <c r="F19" s="8" t="n"/>
      <c r="G19" s="12">
        <f>C19+D19-E19+F19</f>
        <v/>
      </c>
      <c r="H19" s="8" t="n"/>
      <c r="I19" s="12">
        <f>IF(H19="","",G19-H19)</f>
        <v/>
      </c>
      <c r="J19" s="6" t="n"/>
    </row>
    <row r="20">
      <c r="A20" s="11" t="n">
        <v>5</v>
      </c>
      <c r="B20" s="6" t="n"/>
      <c r="C20" s="8" t="n"/>
      <c r="D20" s="8" t="n"/>
      <c r="E20" s="8" t="n"/>
      <c r="F20" s="8" t="n"/>
      <c r="G20" s="12">
        <f>C20+D20-E20+F20</f>
        <v/>
      </c>
      <c r="H20" s="8" t="n"/>
      <c r="I20" s="12">
        <f>IF(H20="","",G20-H20)</f>
        <v/>
      </c>
      <c r="J20" s="6" t="n"/>
    </row>
    <row r="21">
      <c r="A21" s="11" t="n">
        <v>6</v>
      </c>
      <c r="B21" s="6" t="n"/>
      <c r="C21" s="8" t="n"/>
      <c r="D21" s="8" t="n"/>
      <c r="E21" s="8" t="n"/>
      <c r="F21" s="8" t="n"/>
      <c r="G21" s="12">
        <f>C21+D21-E21+F21</f>
        <v/>
      </c>
      <c r="H21" s="8" t="n"/>
      <c r="I21" s="12">
        <f>IF(H21="","",G21-H21)</f>
        <v/>
      </c>
      <c r="J21" s="6" t="n"/>
    </row>
    <row r="22">
      <c r="A22" s="11" t="n">
        <v>7</v>
      </c>
      <c r="B22" s="6" t="n"/>
      <c r="C22" s="8" t="n"/>
      <c r="D22" s="8" t="n"/>
      <c r="E22" s="8" t="n"/>
      <c r="F22" s="8" t="n"/>
      <c r="G22" s="12">
        <f>C22+D22-E22+F22</f>
        <v/>
      </c>
      <c r="H22" s="8" t="n"/>
      <c r="I22" s="12">
        <f>IF(H22="","",G22-H22)</f>
        <v/>
      </c>
      <c r="J22" s="6" t="n"/>
    </row>
    <row r="23">
      <c r="A23" s="11" t="n">
        <v>8</v>
      </c>
      <c r="B23" s="6" t="n"/>
      <c r="C23" s="8" t="n"/>
      <c r="D23" s="8" t="n"/>
      <c r="E23" s="8" t="n"/>
      <c r="F23" s="8" t="n"/>
      <c r="G23" s="12">
        <f>C23+D23-E23+F23</f>
        <v/>
      </c>
      <c r="H23" s="8" t="n"/>
      <c r="I23" s="12">
        <f>IF(H23="","",G23-H23)</f>
        <v/>
      </c>
      <c r="J23" s="6" t="n"/>
    </row>
    <row r="24">
      <c r="A24" s="11" t="n">
        <v>9</v>
      </c>
      <c r="B24" s="6" t="n"/>
      <c r="C24" s="8" t="n"/>
      <c r="D24" s="8" t="n"/>
      <c r="E24" s="8" t="n"/>
      <c r="F24" s="8" t="n"/>
      <c r="G24" s="12">
        <f>C24+D24-E24+F24</f>
        <v/>
      </c>
      <c r="H24" s="8" t="n"/>
      <c r="I24" s="12">
        <f>IF(H24="","",G24-H24)</f>
        <v/>
      </c>
      <c r="J24" s="6" t="n"/>
    </row>
    <row r="25">
      <c r="A25" s="11" t="n">
        <v>10</v>
      </c>
      <c r="B25" s="6" t="n"/>
      <c r="C25" s="8" t="n"/>
      <c r="D25" s="8" t="n"/>
      <c r="E25" s="8" t="n"/>
      <c r="F25" s="8" t="n"/>
      <c r="G25" s="12">
        <f>C25+D25-E25+F25</f>
        <v/>
      </c>
      <c r="H25" s="8" t="n"/>
      <c r="I25" s="12">
        <f>IF(H25="","",G25-H25)</f>
        <v/>
      </c>
      <c r="J25" s="6" t="n"/>
    </row>
    <row r="26">
      <c r="B26" s="9" t="inlineStr">
        <is>
          <t>Jumlah</t>
        </is>
      </c>
      <c r="C26" s="14">
        <f>SUM(C16:C25)</f>
        <v/>
      </c>
      <c r="D26" s="14">
        <f>SUM(D16:D25)</f>
        <v/>
      </c>
      <c r="E26" s="14">
        <f>SUM(E16:E25)</f>
        <v/>
      </c>
      <c r="F26" s="14">
        <f>SUM(F16:F25)</f>
        <v/>
      </c>
      <c r="G26" s="14">
        <f>SUM(G16:G25)</f>
        <v/>
      </c>
      <c r="H26" s="14">
        <f>SUM(H16:H25)</f>
        <v/>
      </c>
      <c r="I26" s="14">
        <f>SUM(I16:I25)</f>
        <v/>
      </c>
    </row>
    <row r="28">
      <c r="A28" s="29" t="inlineStr">
        <is>
          <t>Kesimpulan Pengujian</t>
        </is>
      </c>
      <c r="C28" s="24" t="n"/>
    </row>
    <row r="2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28:J2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C.3 · Pisah Batas</t>
        </is>
      </c>
      <c r="H2" s="3" t="inlineStr">
        <is>
          <t>Indeks KK</t>
        </is>
      </c>
      <c r="I2" s="4" t="inlineStr">
        <is>
          <t>C.3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transfer antarbank dan penerimaan/pengeluaran kas lima hari kerja sebelum dan sesudah tanggal neraca; pastikan dicatat pada periode yang tepat.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8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8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8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8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8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8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8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8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8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8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8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8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8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8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8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8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8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8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8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8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C.4 · Valuasi</t>
        </is>
      </c>
      <c r="F2" s="3" t="inlineStr">
        <is>
          <t>Indeks KK</t>
        </is>
      </c>
      <c r="G2" s="4" t="inlineStr">
        <is>
          <t>C.4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penjabaran saldo valuta asing dengan kurs tengah BI per tanggal neraca; rekalkulasi selisih kurs.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C.5 · Cash Opname</t>
        </is>
      </c>
      <c r="F2" s="3" t="inlineStr">
        <is>
          <t>Indeks KK</t>
        </is>
      </c>
      <c r="G2" s="4" t="inlineStr">
        <is>
          <t>C.5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Hitung fisik kas kecil dan kas di tangan secara mendadak di hadapan kasir; cocokkan dengan saldo buku dan bukti pengeluaran yang belum dipertanggungjawabkan.</t>
        </is>
      </c>
    </row>
    <row r="14">
      <c r="A14" s="7" t="inlineStr">
        <is>
          <t>C. Pengujian</t>
        </is>
      </c>
    </row>
    <row r="15">
      <c r="A15" s="3" t="inlineStr">
        <is>
          <t>Tanggal/Jam Opname</t>
        </is>
      </c>
      <c r="C15" s="6" t="n"/>
      <c r="D15" s="3" t="inlineStr">
        <is>
          <t>Lokasi/Kasir</t>
        </is>
      </c>
      <c r="E15" s="6" t="n"/>
    </row>
    <row r="17" ht="30" customHeight="1">
      <c r="A17" s="10" t="inlineStr"/>
      <c r="B17" s="10" t="inlineStr">
        <is>
          <t>Pecahan</t>
        </is>
      </c>
      <c r="C17" s="10" t="inlineStr">
        <is>
          <t>Jenis</t>
        </is>
      </c>
      <c r="D17" s="10" t="inlineStr">
        <is>
          <t>Nominal (Rp)</t>
        </is>
      </c>
      <c r="E17" s="10" t="inlineStr">
        <is>
          <t>Lembar/Keping</t>
        </is>
      </c>
      <c r="F17" s="10" t="inlineStr">
        <is>
          <t>Jumlah (Rp)</t>
        </is>
      </c>
      <c r="G17" s="10" t="inlineStr">
        <is>
          <t>Keterangan</t>
        </is>
      </c>
    </row>
    <row r="18">
      <c r="B18" s="11" t="inlineStr">
        <is>
          <t>Rp100.000</t>
        </is>
      </c>
      <c r="C18" s="11" t="inlineStr">
        <is>
          <t>Kertas</t>
        </is>
      </c>
      <c r="D18" s="12" t="n">
        <v>100000</v>
      </c>
      <c r="E18" s="8" t="n"/>
      <c r="F18" s="12">
        <f>D18*E18</f>
        <v/>
      </c>
      <c r="G18" s="6" t="n"/>
    </row>
    <row r="19">
      <c r="B19" s="11" t="inlineStr">
        <is>
          <t>Rp50.000</t>
        </is>
      </c>
      <c r="C19" s="11" t="inlineStr">
        <is>
          <t>Kertas</t>
        </is>
      </c>
      <c r="D19" s="12" t="n">
        <v>50000</v>
      </c>
      <c r="E19" s="8" t="n"/>
      <c r="F19" s="12">
        <f>D19*E19</f>
        <v/>
      </c>
      <c r="G19" s="6" t="n"/>
    </row>
    <row r="20">
      <c r="B20" s="11" t="inlineStr">
        <is>
          <t>Rp20.000</t>
        </is>
      </c>
      <c r="C20" s="11" t="inlineStr">
        <is>
          <t>Kertas</t>
        </is>
      </c>
      <c r="D20" s="12" t="n">
        <v>20000</v>
      </c>
      <c r="E20" s="8" t="n"/>
      <c r="F20" s="12">
        <f>D20*E20</f>
        <v/>
      </c>
      <c r="G20" s="6" t="n"/>
    </row>
    <row r="21">
      <c r="B21" s="11" t="inlineStr">
        <is>
          <t>Rp10.000</t>
        </is>
      </c>
      <c r="C21" s="11" t="inlineStr">
        <is>
          <t>Kertas</t>
        </is>
      </c>
      <c r="D21" s="12" t="n">
        <v>10000</v>
      </c>
      <c r="E21" s="8" t="n"/>
      <c r="F21" s="12">
        <f>D21*E21</f>
        <v/>
      </c>
      <c r="G21" s="6" t="n"/>
    </row>
    <row r="22">
      <c r="B22" s="11" t="inlineStr">
        <is>
          <t>Rp5.000</t>
        </is>
      </c>
      <c r="C22" s="11" t="inlineStr">
        <is>
          <t>Kertas</t>
        </is>
      </c>
      <c r="D22" s="12" t="n">
        <v>5000</v>
      </c>
      <c r="E22" s="8" t="n"/>
      <c r="F22" s="12">
        <f>D22*E22</f>
        <v/>
      </c>
      <c r="G22" s="6" t="n"/>
    </row>
    <row r="23">
      <c r="B23" s="11" t="inlineStr">
        <is>
          <t>Rp2.000</t>
        </is>
      </c>
      <c r="C23" s="11" t="inlineStr">
        <is>
          <t>Kertas</t>
        </is>
      </c>
      <c r="D23" s="12" t="n">
        <v>2000</v>
      </c>
      <c r="E23" s="8" t="n"/>
      <c r="F23" s="12">
        <f>D23*E23</f>
        <v/>
      </c>
      <c r="G23" s="6" t="n"/>
    </row>
    <row r="24">
      <c r="B24" s="11" t="inlineStr">
        <is>
          <t>Rp1.000</t>
        </is>
      </c>
      <c r="C24" s="11" t="inlineStr">
        <is>
          <t>Kertas</t>
        </is>
      </c>
      <c r="D24" s="12" t="n">
        <v>1000</v>
      </c>
      <c r="E24" s="8" t="n"/>
      <c r="F24" s="12">
        <f>D24*E24</f>
        <v/>
      </c>
      <c r="G24" s="6" t="n"/>
    </row>
    <row r="25">
      <c r="B25" s="11" t="inlineStr">
        <is>
          <t>Rp1.000</t>
        </is>
      </c>
      <c r="C25" s="11" t="inlineStr">
        <is>
          <t>Logam</t>
        </is>
      </c>
      <c r="D25" s="12" t="n">
        <v>1000</v>
      </c>
      <c r="E25" s="8" t="n"/>
      <c r="F25" s="12">
        <f>D25*E25</f>
        <v/>
      </c>
      <c r="G25" s="6" t="n"/>
    </row>
    <row r="26">
      <c r="B26" s="11" t="inlineStr">
        <is>
          <t>Rp500</t>
        </is>
      </c>
      <c r="C26" s="11" t="inlineStr">
        <is>
          <t>Logam</t>
        </is>
      </c>
      <c r="D26" s="12" t="n">
        <v>500</v>
      </c>
      <c r="E26" s="8" t="n"/>
      <c r="F26" s="12">
        <f>D26*E26</f>
        <v/>
      </c>
      <c r="G26" s="6" t="n"/>
    </row>
    <row r="27">
      <c r="B27" s="11" t="inlineStr">
        <is>
          <t>Rp200</t>
        </is>
      </c>
      <c r="C27" s="11" t="inlineStr">
        <is>
          <t>Logam</t>
        </is>
      </c>
      <c r="D27" s="12" t="n">
        <v>200</v>
      </c>
      <c r="E27" s="8" t="n"/>
      <c r="F27" s="12">
        <f>D27*E27</f>
        <v/>
      </c>
      <c r="G27" s="6" t="n"/>
    </row>
    <row r="28">
      <c r="B28" s="11" t="inlineStr">
        <is>
          <t>Rp100</t>
        </is>
      </c>
      <c r="C28" s="11" t="inlineStr">
        <is>
          <t>Logam</t>
        </is>
      </c>
      <c r="D28" s="12" t="n">
        <v>100</v>
      </c>
      <c r="E28" s="8" t="n"/>
      <c r="F28" s="12">
        <f>D28*E28</f>
        <v/>
      </c>
      <c r="G28" s="6" t="n"/>
    </row>
    <row r="29">
      <c r="B29" s="9" t="inlineStr">
        <is>
          <t>Total Uang Fisik</t>
        </is>
      </c>
      <c r="C29" s="22" t="n"/>
      <c r="D29" s="22" t="n"/>
      <c r="E29" s="23" t="n"/>
      <c r="F29" s="14">
        <f>SUM(F18:F28)</f>
        <v/>
      </c>
    </row>
    <row r="30">
      <c r="B30" s="9" t="inlineStr">
        <is>
          <t>Bukti Pengeluaran Belum Dipertanggungjawabkan</t>
        </is>
      </c>
      <c r="C30" s="22" t="n"/>
      <c r="D30" s="22" t="n"/>
      <c r="E30" s="23" t="n"/>
      <c r="F30" s="8" t="n"/>
    </row>
    <row r="31">
      <c r="B31" s="9" t="inlineStr">
        <is>
          <t>Total Kas Menurut Opname</t>
        </is>
      </c>
      <c r="C31" s="22" t="n"/>
      <c r="D31" s="22" t="n"/>
      <c r="E31" s="23" t="n"/>
      <c r="F31" s="14">
        <f>F29+F30</f>
        <v/>
      </c>
    </row>
    <row r="32">
      <c r="B32" s="9" t="inlineStr">
        <is>
          <t>Saldo Kas Per Buku</t>
        </is>
      </c>
      <c r="C32" s="22" t="n"/>
      <c r="D32" s="22" t="n"/>
      <c r="E32" s="23" t="n"/>
      <c r="F32" s="8" t="n"/>
    </row>
    <row r="33">
      <c r="B33" s="9" t="inlineStr">
        <is>
          <t>Selisih (Opname - Buku)</t>
        </is>
      </c>
      <c r="C33" s="22" t="n"/>
      <c r="D33" s="22" t="n"/>
      <c r="E33" s="23" t="n"/>
      <c r="F33" s="14">
        <f>F31-F32</f>
        <v/>
      </c>
    </row>
    <row r="34">
      <c r="B34" s="9" t="inlineStr">
        <is>
          <t>Hasil Otomatis</t>
        </is>
      </c>
      <c r="F34" s="9">
        <f>IF(F32="","Isi saldo buku",IF(ABS(F33)&lt;1,"Sesuai","Ada selisih, jelaskan"))</f>
        <v/>
      </c>
    </row>
    <row r="36">
      <c r="B36" s="3" t="inlineStr">
        <is>
          <t>Kasir</t>
        </is>
      </c>
      <c r="C36" s="6" t="n"/>
      <c r="D36" s="30" t="n"/>
      <c r="E36" s="31" t="n"/>
    </row>
    <row r="37">
      <c r="B37" s="3" t="inlineStr">
        <is>
          <t>Auditor</t>
        </is>
      </c>
      <c r="C37" s="6" t="n"/>
      <c r="D37" s="30" t="n"/>
      <c r="E37" s="31" t="n"/>
    </row>
    <row r="38">
      <c r="B38" s="3" t="inlineStr">
        <is>
          <t>Saksi (Manajemen)</t>
        </is>
      </c>
      <c r="C38" s="6" t="n"/>
      <c r="D38" s="30" t="n"/>
      <c r="E38" s="31" t="n"/>
    </row>
    <row r="40">
      <c r="A40" s="29" t="inlineStr">
        <is>
          <t>Kesimpulan Pengujian</t>
        </is>
      </c>
      <c r="C40" s="24" t="n"/>
    </row>
    <row r="41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3">
    <mergeCell ref="B31:E31"/>
    <mergeCell ref="C38:E38"/>
    <mergeCell ref="C36:E36"/>
    <mergeCell ref="C37:E37"/>
    <mergeCell ref="E8:G8"/>
    <mergeCell ref="A12:G12"/>
    <mergeCell ref="B30:E30"/>
    <mergeCell ref="B29:E29"/>
    <mergeCell ref="B33:E33"/>
    <mergeCell ref="E9:G9"/>
    <mergeCell ref="C40:G41"/>
    <mergeCell ref="E7:G7"/>
    <mergeCell ref="B32:E32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C.6 · Rekonsiliasi Setoran Kasir Outlet ke Night Audit</t>
        </is>
      </c>
      <c r="F2" s="3" t="inlineStr">
        <is>
          <t>Indeks KK</t>
        </is>
      </c>
      <c r="G2" s="4" t="inlineStr">
        <is>
          <t>C.6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setoran kasir front office dan outlet F&amp;B dengan laporan night audit dan rekening koran.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