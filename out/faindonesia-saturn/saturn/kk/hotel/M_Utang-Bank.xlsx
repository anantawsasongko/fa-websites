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 Lead" sheetId="1" state="visible" r:id="rId1"/>
    <sheet xmlns:r="http://schemas.openxmlformats.org/officeDocument/2006/relationships" name="M Program" sheetId="2" state="visible" r:id="rId2"/>
    <sheet xmlns:r="http://schemas.openxmlformats.org/officeDocument/2006/relationships" name="M.1 Verifikasi Pinjaman dan" sheetId="3" state="visible" r:id="rId3"/>
    <sheet xmlns:r="http://schemas.openxmlformats.org/officeDocument/2006/relationships" name="M.2 Inspeksi Kontrak" sheetId="4" state="visible" r:id="rId4"/>
    <sheet xmlns:r="http://schemas.openxmlformats.org/officeDocument/2006/relationships" name="M.3 Kepatuhan terhadap" sheetId="5" state="visible" r:id="rId5"/>
    <sheet xmlns:r="http://schemas.openxmlformats.org/officeDocument/2006/relationships" name="Keterang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166" fontId="5" fillId="2" borderId="1" applyProtection="1" pivotButton="0" quotePrefix="0" xfId="0">
      <protection locked="0" hidden="0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M · Utang Bank</t>
        </is>
      </c>
      <c r="I2" s="3" t="inlineStr">
        <is>
          <t>Indeks KK</t>
        </is>
      </c>
      <c r="J2" s="4" t="inlineStr">
        <is>
          <t>M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M-1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M-2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M-3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M-4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M-5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M-6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M-7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M-8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M.1, M.2</t>
        </is>
      </c>
      <c r="D21" s="19" t="n"/>
      <c r="E21" s="20">
        <f>COUNTIF('M Program'!$D$8:$D$10,"X")</f>
        <v/>
      </c>
      <c r="F21" s="20">
        <f>COUNTIFS('M Program'!$D$8:$D$10,"X",'M Program'!$I$8:$I$10,"Selesai")</f>
        <v/>
      </c>
      <c r="G21" s="20">
        <f>COUNTIFS('M Program'!$D$8:$D$10,"X",'M Program'!$J$8:$J$10,"Pengecualian")</f>
        <v/>
      </c>
      <c r="H21" s="16">
        <f>IF(E21=0,"n/a",IF(G21&gt;0,"TT",IF(F21+COUNTIFS('M Program'!$D$8:$D$10,"X",'M Program'!$I$8:$I$10,"Tidak Relevan")&lt;E21,"BD",IF(F21=0,"n/a",IF(COUNTIFS('M Program'!$D$8:$D$10,"X",'M Program'!$J$8:$J$10,"Koreksi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M.1, M.2, M.3</t>
        </is>
      </c>
      <c r="D22" s="19" t="n"/>
      <c r="E22" s="20">
        <f>COUNTIF('M Program'!$E$8:$E$10,"X")</f>
        <v/>
      </c>
      <c r="F22" s="20">
        <f>COUNTIFS('M Program'!$E$8:$E$10,"X",'M Program'!$I$8:$I$10,"Selesai")</f>
        <v/>
      </c>
      <c r="G22" s="20">
        <f>COUNTIFS('M Program'!$E$8:$E$10,"X",'M Program'!$J$8:$J$10,"Pengecualian")</f>
        <v/>
      </c>
      <c r="H22" s="16">
        <f>IF(E22=0,"n/a",IF(G22&gt;0,"TT",IF(F22+COUNTIFS('M Program'!$E$8:$E$10,"X",'M Program'!$I$8:$I$10,"Tidak Relevan")&lt;E22,"BD",IF(F22=0,"n/a",IF(COUNTIFS('M Program'!$E$8:$E$10,"X",'M Program'!$J$8:$J$10,"Koreksi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M.1, M.2</t>
        </is>
      </c>
      <c r="D23" s="19" t="n"/>
      <c r="E23" s="20">
        <f>COUNTIF('M Program'!$F$8:$F$10,"X")</f>
        <v/>
      </c>
      <c r="F23" s="20">
        <f>COUNTIFS('M Program'!$F$8:$F$10,"X",'M Program'!$I$8:$I$10,"Selesai")</f>
        <v/>
      </c>
      <c r="G23" s="20">
        <f>COUNTIFS('M Program'!$F$8:$F$10,"X",'M Program'!$J$8:$J$10,"Pengecualian")</f>
        <v/>
      </c>
      <c r="H23" s="16">
        <f>IF(E23=0,"n/a",IF(G23&gt;0,"TT",IF(F23+COUNTIFS('M Program'!$F$8:$F$10,"X",'M Program'!$I$8:$I$10,"Tidak Relevan")&lt;E23,"BD",IF(F23=0,"n/a",IF(COUNTIFS('M Program'!$F$8:$F$10,"X",'M Program'!$J$8:$J$10,"Koreksi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M.1, M.2, M.3</t>
        </is>
      </c>
      <c r="D24" s="19" t="n"/>
      <c r="E24" s="20">
        <f>COUNTIF('M Program'!$G$8:$G$10,"X")</f>
        <v/>
      </c>
      <c r="F24" s="20">
        <f>COUNTIFS('M Program'!$G$8:$G$10,"X",'M Program'!$I$8:$I$10,"Selesai")</f>
        <v/>
      </c>
      <c r="G24" s="20">
        <f>COUNTIFS('M Program'!$G$8:$G$10,"X",'M Program'!$J$8:$J$10,"Pengecualian")</f>
        <v/>
      </c>
      <c r="H24" s="16">
        <f>IF(E24=0,"n/a",IF(G24&gt;0,"TT",IF(F24+COUNTIFS('M Program'!$G$8:$G$10,"X",'M Program'!$I$8:$I$10,"Tidak Relevan")&lt;E24,"BD",IF(F24=0,"n/a",IF(COUNTIFS('M Program'!$G$8:$G$10,"X",'M Program'!$J$8:$J$10,"Koreksi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M.1, M.2, M.3</t>
        </is>
      </c>
      <c r="D25" s="19" t="n"/>
      <c r="E25" s="20">
        <f>COUNTIF('M Program'!$H$8:$H$10,"X")</f>
        <v/>
      </c>
      <c r="F25" s="20">
        <f>COUNTIFS('M Program'!$H$8:$H$10,"X",'M Program'!$I$8:$I$10,"Selesai")</f>
        <v/>
      </c>
      <c r="G25" s="20">
        <f>COUNTIFS('M Program'!$H$8:$H$10,"X",'M Program'!$J$8:$J$10,"Pengecualian")</f>
        <v/>
      </c>
      <c r="H25" s="16">
        <f>IF(E25=0,"n/a",IF(G25&gt;0,"TT",IF(F25+COUNTIFS('M Program'!$H$8:$H$10,"X",'M Program'!$I$8:$I$10,"Tidak Relevan")&lt;E25,"BD",IF(F25=0,"n/a",IF(COUNTIFS('M Program'!$H$8:$H$10,"X",'M Program'!$J$8:$J$10,"Koreksi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utang Bank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M · Utang Bank</t>
        </is>
      </c>
      <c r="K2" s="3" t="inlineStr">
        <is>
          <t>Indeks KK</t>
        </is>
      </c>
      <c r="L2" s="4" t="inlineStr">
        <is>
          <t>M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M.1</t>
        </is>
      </c>
      <c r="B8" s="18" t="inlineStr">
        <is>
          <t>Verifikasi Pinjaman dan Kewajiban Terkait</t>
        </is>
      </c>
      <c r="C8" s="17" t="inlineStr">
        <is>
          <t>PSP</t>
        </is>
      </c>
      <c r="D8" s="20" t="inlineStr">
        <is>
          <t>X</t>
        </is>
      </c>
      <c r="E8" s="20" t="inlineStr">
        <is>
          <t>X</t>
        </is>
      </c>
      <c r="F8" s="20" t="inlineStr">
        <is>
          <t>X</t>
        </is>
      </c>
      <c r="G8" s="20" t="inlineStr">
        <is>
          <t>X</t>
        </is>
      </c>
      <c r="H8" s="20" t="inlineStr">
        <is>
          <t>X</t>
        </is>
      </c>
      <c r="I8" s="26">
        <f>IF('M.1 Verifikasi Pinjaman dan'!$C$7="","Belum",'M.1 Verifikasi Pinjaman dan'!$C$7)</f>
        <v/>
      </c>
      <c r="J8" s="17">
        <f>IF('M.1 Verifikasi Pinjaman dan'!$C$8="","",'M.1 Verifikasi Pinjaman dan'!$C$8)</f>
        <v/>
      </c>
      <c r="K8" s="17">
        <f>IF('M.1 Verifikasi Pinjaman dan'!$C$9="","",'M.1 Verifikasi Pinjaman dan'!$C$9)</f>
        <v/>
      </c>
      <c r="L8" s="18" t="inlineStr">
        <is>
          <t>M.1 Verifikasi Pinjaman dan</t>
        </is>
      </c>
    </row>
    <row r="9" ht="28" customHeight="1">
      <c r="A9" s="26" t="inlineStr">
        <is>
          <t>M.2</t>
        </is>
      </c>
      <c r="B9" s="18" t="inlineStr">
        <is>
          <t>Inspeksi Kontrak</t>
        </is>
      </c>
      <c r="C9" s="17" t="inlineStr">
        <is>
          <t>PSP</t>
        </is>
      </c>
      <c r="D9" s="20" t="inlineStr">
        <is>
          <t>X</t>
        </is>
      </c>
      <c r="E9" s="20" t="inlineStr">
        <is>
          <t>X</t>
        </is>
      </c>
      <c r="F9" s="20" t="inlineStr">
        <is>
          <t>X</t>
        </is>
      </c>
      <c r="G9" s="20" t="inlineStr">
        <is>
          <t>X</t>
        </is>
      </c>
      <c r="H9" s="20" t="inlineStr">
        <is>
          <t>X</t>
        </is>
      </c>
      <c r="I9" s="26">
        <f>IF('M.2 Inspeksi Kontrak'!$C$7="","Belum",'M.2 Inspeksi Kontrak'!$C$7)</f>
        <v/>
      </c>
      <c r="J9" s="17">
        <f>IF('M.2 Inspeksi Kontrak'!$C$8="","",'M.2 Inspeksi Kontrak'!$C$8)</f>
        <v/>
      </c>
      <c r="K9" s="17">
        <f>IF('M.2 Inspeksi Kontrak'!$C$9="","",'M.2 Inspeksi Kontrak'!$C$9)</f>
        <v/>
      </c>
      <c r="L9" s="18" t="inlineStr">
        <is>
          <t>M.2 Inspeksi Kontrak</t>
        </is>
      </c>
    </row>
    <row r="10" ht="28" customHeight="1">
      <c r="A10" s="26" t="inlineStr">
        <is>
          <t>M.3</t>
        </is>
      </c>
      <c r="B10" s="18" t="inlineStr">
        <is>
          <t>Kepatuhan terhadap Ketentuan Kontrak</t>
        </is>
      </c>
      <c r="C10" s="17" t="inlineStr">
        <is>
          <t>PSP</t>
        </is>
      </c>
      <c r="D10" s="20" t="n"/>
      <c r="E10" s="20" t="inlineStr">
        <is>
          <t>X</t>
        </is>
      </c>
      <c r="F10" s="20" t="n"/>
      <c r="G10" s="20" t="inlineStr">
        <is>
          <t>X</t>
        </is>
      </c>
      <c r="H10" s="20" t="inlineStr">
        <is>
          <t>X</t>
        </is>
      </c>
      <c r="I10" s="26">
        <f>IF('M.3 Kepatuhan terhadap'!$C$7="","Belum",'M.3 Kepatuhan terhadap'!$C$7)</f>
        <v/>
      </c>
      <c r="J10" s="17">
        <f>IF('M.3 Kepatuhan terhadap'!$C$8="","",'M.3 Kepatuhan terhadap'!$C$8)</f>
        <v/>
      </c>
      <c r="K10" s="17">
        <f>IF('M.3 Kepatuhan terhadap'!$C$9="","",'M.3 Kepatuhan terhadap'!$C$9)</f>
        <v/>
      </c>
      <c r="L10" s="18" t="inlineStr">
        <is>
          <t>M.3 Kepatuhan terhadap</t>
        </is>
      </c>
    </row>
    <row r="12">
      <c r="A12" s="25" t="inlineStr">
        <is>
          <t>Status dan hasil diisi di sheet KK anak masing-masing prosedur (sel kuning bagian A). Program ini dan jawaban asersi di Lead terisi otomatis.</t>
        </is>
      </c>
    </row>
    <row r="13">
      <c r="A13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12" customWidth="1" min="5" max="5"/>
    <col width="16" customWidth="1" min="6" max="6"/>
    <col width="14" customWidth="1" min="7" max="7"/>
    <col width="30" customWidth="1" min="8" max="8"/>
    <col width="10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M.1 · Verifikasi Pinjaman dan Kewajiban Terkait</t>
        </is>
      </c>
      <c r="H2" s="3" t="inlineStr">
        <is>
          <t>Indeks KK</t>
        </is>
      </c>
      <c r="I2" s="4" t="inlineStr">
        <is>
          <t>M.1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Konfirmasi saldo pinjaman, bunga terutang, jaminan, dan fasilitas ke kreditur.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Pihak Dikonfirmasi</t>
        </is>
      </c>
      <c r="C15" s="10" t="inlineStr">
        <is>
          <t>Saldo per Buku</t>
        </is>
      </c>
      <c r="D15" s="10" t="inlineStr">
        <is>
          <t>Tgl Kirim</t>
        </is>
      </c>
      <c r="E15" s="10" t="inlineStr">
        <is>
          <t>Tgl Terima</t>
        </is>
      </c>
      <c r="F15" s="10" t="inlineStr">
        <is>
          <t>Saldo per Konfirmasi</t>
        </is>
      </c>
      <c r="G15" s="10" t="inlineStr">
        <is>
          <t>Selisih</t>
        </is>
      </c>
      <c r="H15" s="10" t="inlineStr">
        <is>
          <t>Penjelasan / Prosedur Alternatif</t>
        </is>
      </c>
      <c r="I15" s="10" t="inlineStr">
        <is>
          <t>Tickmark</t>
        </is>
      </c>
    </row>
    <row r="16">
      <c r="A16" s="11" t="n">
        <v>1</v>
      </c>
      <c r="B16" s="6" t="n"/>
      <c r="C16" s="8" t="n"/>
      <c r="D16" s="28" t="n"/>
      <c r="E16" s="28" t="n"/>
      <c r="F16" s="8" t="n"/>
      <c r="G16" s="12">
        <f>IF(F16="","",F16-C16)</f>
        <v/>
      </c>
      <c r="H16" s="6" t="n"/>
      <c r="I16" s="6" t="n"/>
    </row>
    <row r="17">
      <c r="A17" s="11" t="n">
        <v>2</v>
      </c>
      <c r="B17" s="6" t="n"/>
      <c r="C17" s="8" t="n"/>
      <c r="D17" s="28" t="n"/>
      <c r="E17" s="28" t="n"/>
      <c r="F17" s="8" t="n"/>
      <c r="G17" s="12">
        <f>IF(F17="","",F17-C17)</f>
        <v/>
      </c>
      <c r="H17" s="6" t="n"/>
      <c r="I17" s="6" t="n"/>
    </row>
    <row r="18">
      <c r="A18" s="11" t="n">
        <v>3</v>
      </c>
      <c r="B18" s="6" t="n"/>
      <c r="C18" s="8" t="n"/>
      <c r="D18" s="28" t="n"/>
      <c r="E18" s="28" t="n"/>
      <c r="F18" s="8" t="n"/>
      <c r="G18" s="12">
        <f>IF(F18="","",F18-C18)</f>
        <v/>
      </c>
      <c r="H18" s="6" t="n"/>
      <c r="I18" s="6" t="n"/>
    </row>
    <row r="19">
      <c r="A19" s="11" t="n">
        <v>4</v>
      </c>
      <c r="B19" s="6" t="n"/>
      <c r="C19" s="8" t="n"/>
      <c r="D19" s="28" t="n"/>
      <c r="E19" s="28" t="n"/>
      <c r="F19" s="8" t="n"/>
      <c r="G19" s="12">
        <f>IF(F19="","",F19-C19)</f>
        <v/>
      </c>
      <c r="H19" s="6" t="n"/>
      <c r="I19" s="6" t="n"/>
    </row>
    <row r="20">
      <c r="A20" s="11" t="n">
        <v>5</v>
      </c>
      <c r="B20" s="6" t="n"/>
      <c r="C20" s="8" t="n"/>
      <c r="D20" s="28" t="n"/>
      <c r="E20" s="28" t="n"/>
      <c r="F20" s="8" t="n"/>
      <c r="G20" s="12">
        <f>IF(F20="","",F20-C20)</f>
        <v/>
      </c>
      <c r="H20" s="6" t="n"/>
      <c r="I20" s="6" t="n"/>
    </row>
    <row r="21">
      <c r="A21" s="11" t="n">
        <v>6</v>
      </c>
      <c r="B21" s="6" t="n"/>
      <c r="C21" s="8" t="n"/>
      <c r="D21" s="28" t="n"/>
      <c r="E21" s="28" t="n"/>
      <c r="F21" s="8" t="n"/>
      <c r="G21" s="12">
        <f>IF(F21="","",F21-C21)</f>
        <v/>
      </c>
      <c r="H21" s="6" t="n"/>
      <c r="I21" s="6" t="n"/>
    </row>
    <row r="22">
      <c r="A22" s="11" t="n">
        <v>7</v>
      </c>
      <c r="B22" s="6" t="n"/>
      <c r="C22" s="8" t="n"/>
      <c r="D22" s="28" t="n"/>
      <c r="E22" s="28" t="n"/>
      <c r="F22" s="8" t="n"/>
      <c r="G22" s="12">
        <f>IF(F22="","",F22-C22)</f>
        <v/>
      </c>
      <c r="H22" s="6" t="n"/>
      <c r="I22" s="6" t="n"/>
    </row>
    <row r="23">
      <c r="A23" s="11" t="n">
        <v>8</v>
      </c>
      <c r="B23" s="6" t="n"/>
      <c r="C23" s="8" t="n"/>
      <c r="D23" s="28" t="n"/>
      <c r="E23" s="28" t="n"/>
      <c r="F23" s="8" t="n"/>
      <c r="G23" s="12">
        <f>IF(F23="","",F23-C23)</f>
        <v/>
      </c>
      <c r="H23" s="6" t="n"/>
      <c r="I23" s="6" t="n"/>
    </row>
    <row r="24">
      <c r="A24" s="11" t="n">
        <v>9</v>
      </c>
      <c r="B24" s="6" t="n"/>
      <c r="C24" s="8" t="n"/>
      <c r="D24" s="28" t="n"/>
      <c r="E24" s="28" t="n"/>
      <c r="F24" s="8" t="n"/>
      <c r="G24" s="12">
        <f>IF(F24="","",F24-C24)</f>
        <v/>
      </c>
      <c r="H24" s="6" t="n"/>
      <c r="I24" s="6" t="n"/>
    </row>
    <row r="25">
      <c r="A25" s="11" t="n">
        <v>10</v>
      </c>
      <c r="B25" s="6" t="n"/>
      <c r="C25" s="8" t="n"/>
      <c r="D25" s="28" t="n"/>
      <c r="E25" s="28" t="n"/>
      <c r="F25" s="8" t="n"/>
      <c r="G25" s="12">
        <f>IF(F25="","",F25-C25)</f>
        <v/>
      </c>
      <c r="H25" s="6" t="n"/>
      <c r="I25" s="6" t="n"/>
    </row>
    <row r="26">
      <c r="A26" s="11" t="n">
        <v>11</v>
      </c>
      <c r="B26" s="6" t="n"/>
      <c r="C26" s="8" t="n"/>
      <c r="D26" s="28" t="n"/>
      <c r="E26" s="28" t="n"/>
      <c r="F26" s="8" t="n"/>
      <c r="G26" s="12">
        <f>IF(F26="","",F26-C26)</f>
        <v/>
      </c>
      <c r="H26" s="6" t="n"/>
      <c r="I26" s="6" t="n"/>
    </row>
    <row r="27">
      <c r="A27" s="11" t="n">
        <v>12</v>
      </c>
      <c r="B27" s="6" t="n"/>
      <c r="C27" s="8" t="n"/>
      <c r="D27" s="28" t="n"/>
      <c r="E27" s="28" t="n"/>
      <c r="F27" s="8" t="n"/>
      <c r="G27" s="12">
        <f>IF(F27="","",F27-C27)</f>
        <v/>
      </c>
      <c r="H27" s="6" t="n"/>
      <c r="I27" s="6" t="n"/>
    </row>
    <row r="28">
      <c r="A28" s="11" t="n">
        <v>13</v>
      </c>
      <c r="B28" s="6" t="n"/>
      <c r="C28" s="8" t="n"/>
      <c r="D28" s="28" t="n"/>
      <c r="E28" s="28" t="n"/>
      <c r="F28" s="8" t="n"/>
      <c r="G28" s="12">
        <f>IF(F28="","",F28-C28)</f>
        <v/>
      </c>
      <c r="H28" s="6" t="n"/>
      <c r="I28" s="6" t="n"/>
    </row>
    <row r="29">
      <c r="A29" s="11" t="n">
        <v>14</v>
      </c>
      <c r="B29" s="6" t="n"/>
      <c r="C29" s="8" t="n"/>
      <c r="D29" s="28" t="n"/>
      <c r="E29" s="28" t="n"/>
      <c r="F29" s="8" t="n"/>
      <c r="G29" s="12">
        <f>IF(F29="","",F29-C29)</f>
        <v/>
      </c>
      <c r="H29" s="6" t="n"/>
      <c r="I29" s="6" t="n"/>
    </row>
    <row r="30">
      <c r="A30" s="11" t="n">
        <v>15</v>
      </c>
      <c r="B30" s="6" t="n"/>
      <c r="C30" s="8" t="n"/>
      <c r="D30" s="28" t="n"/>
      <c r="E30" s="28" t="n"/>
      <c r="F30" s="8" t="n"/>
      <c r="G30" s="12">
        <f>IF(F30="","",F30-C30)</f>
        <v/>
      </c>
      <c r="H30" s="6" t="n"/>
      <c r="I30" s="6" t="n"/>
    </row>
    <row r="31">
      <c r="B31" s="9" t="inlineStr">
        <is>
          <t>Jumlah</t>
        </is>
      </c>
      <c r="C31" s="14">
        <f>SUM(C16:C30)</f>
        <v/>
      </c>
      <c r="F31" s="14">
        <f>SUM(F16:F30)</f>
        <v/>
      </c>
      <c r="G31" s="14">
        <f>SUM(G16:G30)</f>
        <v/>
      </c>
    </row>
    <row r="32">
      <c r="B32" s="11" t="inlineStr">
        <is>
          <t>Konfirmasi Kembali (%)</t>
        </is>
      </c>
      <c r="C32" s="15">
        <f>IF(COUNTA(B16:B30)=0,"",COUNTA(E16:E30)/COUNTA(B16:B30))</f>
        <v/>
      </c>
    </row>
    <row r="34">
      <c r="A34" s="29" t="inlineStr">
        <is>
          <t>Kesimpulan Pengujian</t>
        </is>
      </c>
      <c r="C34" s="24" t="n"/>
    </row>
    <row r="3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4:I35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I16:I30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M.2 · Inspeksi Kontrak</t>
        </is>
      </c>
      <c r="F2" s="3" t="inlineStr">
        <is>
          <t>Indeks KK</t>
        </is>
      </c>
      <c r="G2" s="4" t="inlineStr">
        <is>
          <t>M.2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Baca perjanjian kredit: jumlah, jangka waktu, bunga, jaminan, dan klasifikasi jangka pendek/panjang.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9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M.3 · Kepatuhan terhadap Ketentuan Kontrak</t>
        </is>
      </c>
      <c r="F2" s="3" t="inlineStr">
        <is>
          <t>Indeks KK</t>
        </is>
      </c>
      <c r="G2" s="4" t="inlineStr">
        <is>
          <t>M.3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kepatuhan financial covenant per tanggal neraca; evaluasi dampak pelanggaran terhadap klasifikasi dan pengungkapan.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9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2026-10-18T07:48:43Z</dcterms:created>
  <dcterms:modified xmlns:dcterms="http://purl.org/dc/terms/" xmlns:xsi="http://www.w3.org/2001/XMLSchema-instance" xsi:type="dcterms:W3CDTF">2026-10-18T07:48:43Z</dcterms:modified>
</cp:coreProperties>
</file>