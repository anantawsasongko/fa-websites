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 Lead" sheetId="1" state="visible" r:id="rId1"/>
    <sheet xmlns:r="http://schemas.openxmlformats.org/officeDocument/2006/relationships" name="VD Program" sheetId="2" state="visible" r:id="rId2"/>
    <sheet xmlns:r="http://schemas.openxmlformats.org/officeDocument/2006/relationships" name="VD.1 Analisis Konten pada" sheetId="3" state="visible" r:id="rId3"/>
    <sheet xmlns:r="http://schemas.openxmlformats.org/officeDocument/2006/relationships" name="VD.2 Tinjauan Dokumentasi" sheetId="4" state="visible" r:id="rId4"/>
    <sheet xmlns:r="http://schemas.openxmlformats.org/officeDocument/2006/relationships" name="VD.3 Kelengkapan Konfirmasi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VD · Beban Usaha &amp; Gaji</t>
        </is>
      </c>
      <c r="I2" s="3" t="inlineStr">
        <is>
          <t>Indeks KK</t>
        </is>
      </c>
      <c r="J2" s="4" t="inlineStr">
        <is>
          <t>VD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VD-1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VD-2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VD-3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VD-4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VD-5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VD-6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VD-7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VD-8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VD.1, VD.2</t>
        </is>
      </c>
      <c r="D21" s="19" t="n"/>
      <c r="E21" s="20">
        <f>COUNTIF('VD Program'!$D$8:$D$10,"X")</f>
        <v/>
      </c>
      <c r="F21" s="20">
        <f>COUNTIFS('VD Program'!$D$8:$D$10,"X",'VD Program'!$I$8:$I$10,"Selesai")</f>
        <v/>
      </c>
      <c r="G21" s="20">
        <f>COUNTIFS('VD Program'!$D$8:$D$10,"X",'VD Program'!$J$8:$J$10,"Pengecualian")</f>
        <v/>
      </c>
      <c r="H21" s="16">
        <f>IF(E21=0,"n/a",IF(G21&gt;0,"TT",IF(F21+COUNTIFS('VD Program'!$D$8:$D$10,"X",'VD Program'!$I$8:$I$10,"Tidak Relevan")&lt;E21,"BD",IF(F21=0,"n/a",IF(COUNTIFS('VD Program'!$D$8:$D$10,"X",'VD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VD.1, VD.2</t>
        </is>
      </c>
      <c r="D22" s="19" t="n"/>
      <c r="E22" s="20">
        <f>COUNTIF('VD Program'!$E$8:$E$10,"X")</f>
        <v/>
      </c>
      <c r="F22" s="20">
        <f>COUNTIFS('VD Program'!$E$8:$E$10,"X",'VD Program'!$I$8:$I$10,"Selesai")</f>
        <v/>
      </c>
      <c r="G22" s="20">
        <f>COUNTIFS('VD Program'!$E$8:$E$10,"X",'VD Program'!$J$8:$J$10,"Pengecualian")</f>
        <v/>
      </c>
      <c r="H22" s="16">
        <f>IF(E22=0,"n/a",IF(G22&gt;0,"TT",IF(F22+COUNTIFS('VD Program'!$E$8:$E$10,"X",'VD Program'!$I$8:$I$10,"Tidak Relevan")&lt;E22,"BD",IF(F22=0,"n/a",IF(COUNTIFS('VD Program'!$E$8:$E$10,"X",'VD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VD.1, VD.2, VD.3</t>
        </is>
      </c>
      <c r="D23" s="19" t="n"/>
      <c r="E23" s="20">
        <f>COUNTIF('VD Program'!$F$8:$F$10,"X")</f>
        <v/>
      </c>
      <c r="F23" s="20">
        <f>COUNTIFS('VD Program'!$F$8:$F$10,"X",'VD Program'!$I$8:$I$10,"Selesai")</f>
        <v/>
      </c>
      <c r="G23" s="20">
        <f>COUNTIFS('VD Program'!$F$8:$F$10,"X",'VD Program'!$J$8:$J$10,"Pengecualian")</f>
        <v/>
      </c>
      <c r="H23" s="16">
        <f>IF(E23=0,"n/a",IF(G23&gt;0,"TT",IF(F23+COUNTIFS('VD Program'!$F$8:$F$10,"X",'VD Program'!$I$8:$I$10,"Tidak Relevan")&lt;E23,"BD",IF(F23=0,"n/a",IF(COUNTIFS('VD Program'!$F$8:$F$10,"X",'VD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VD.1, VD.3</t>
        </is>
      </c>
      <c r="D25" s="19" t="n"/>
      <c r="E25" s="20">
        <f>COUNTIF('VD Program'!$H$8:$H$10,"X")</f>
        <v/>
      </c>
      <c r="F25" s="20">
        <f>COUNTIFS('VD Program'!$H$8:$H$10,"X",'VD Program'!$I$8:$I$10,"Selesai")</f>
        <v/>
      </c>
      <c r="G25" s="20">
        <f>COUNTIFS('VD Program'!$H$8:$H$10,"X",'VD Program'!$J$8:$J$10,"Pengecualian")</f>
        <v/>
      </c>
      <c r="H25" s="16">
        <f>IF(E25=0,"n/a",IF(G25&gt;0,"TT",IF(F25+COUNTIFS('VD Program'!$H$8:$H$10,"X",'VD Program'!$I$8:$I$10,"Tidak Relevan")&lt;E25,"BD",IF(F25=0,"n/a",IF(COUNTIFS('VD Program'!$H$8:$H$10,"X",'VD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beban Usaha &amp; Gaji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VD · Beban Usaha &amp; Gaji</t>
        </is>
      </c>
      <c r="K2" s="3" t="inlineStr">
        <is>
          <t>Indeks KK</t>
        </is>
      </c>
      <c r="L2" s="4" t="inlineStr">
        <is>
          <t>VD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VD.1</t>
        </is>
      </c>
      <c r="B8" s="18" t="inlineStr">
        <is>
          <t>Analisis Konten pada Beban Umum Administrasi dan Beban Umum Lainnya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IF('VD.1 Analisis Konten pada'!$C$7="","Belum",'VD.1 Analisis Konten pada'!$C$7)</f>
        <v/>
      </c>
      <c r="J8" s="17">
        <f>IF('VD.1 Analisis Konten pada'!$C$8="","",'VD.1 Analisis Konten pada'!$C$8)</f>
        <v/>
      </c>
      <c r="K8" s="17">
        <f>IF('VD.1 Analisis Konten pada'!$C$9="","",'VD.1 Analisis Konten pada'!$C$9)</f>
        <v/>
      </c>
      <c r="L8" s="18" t="inlineStr">
        <is>
          <t>VD.1 Analisis Konten pada</t>
        </is>
      </c>
    </row>
    <row r="9" ht="28" customHeight="1">
      <c r="A9" s="26" t="inlineStr">
        <is>
          <t>VD.2</t>
        </is>
      </c>
      <c r="B9" s="18" t="inlineStr">
        <is>
          <t>Tinjauan Dokumentasi Penunjang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IF('VD.2 Tinjauan Dokumentasi'!$C$7="","Belum",'VD.2 Tinjauan Dokumentasi'!$C$7)</f>
        <v/>
      </c>
      <c r="J9" s="17">
        <f>IF('VD.2 Tinjauan Dokumentasi'!$C$8="","",'VD.2 Tinjauan Dokumentasi'!$C$8)</f>
        <v/>
      </c>
      <c r="K9" s="17">
        <f>IF('VD.2 Tinjauan Dokumentasi'!$C$9="","",'VD.2 Tinjauan Dokumentasi'!$C$9)</f>
        <v/>
      </c>
      <c r="L9" s="18" t="inlineStr">
        <is>
          <t>VD.2 Tinjauan Dokumentasi</t>
        </is>
      </c>
    </row>
    <row r="10" ht="28" customHeight="1">
      <c r="A10" s="26" t="inlineStr">
        <is>
          <t>VD.3</t>
        </is>
      </c>
      <c r="B10" s="18" t="inlineStr">
        <is>
          <t>Kelengkapan Konfirmasi dari Pengacara Perusahaan</t>
        </is>
      </c>
      <c r="C10" s="17" t="inlineStr">
        <is>
          <t>PSP</t>
        </is>
      </c>
      <c r="D10" s="20" t="n"/>
      <c r="E10" s="20" t="n"/>
      <c r="F10" s="20" t="inlineStr">
        <is>
          <t>X</t>
        </is>
      </c>
      <c r="G10" s="20" t="inlineStr">
        <is>
          <t>-</t>
        </is>
      </c>
      <c r="H10" s="20" t="inlineStr">
        <is>
          <t>X</t>
        </is>
      </c>
      <c r="I10" s="26">
        <f>IF('VD.3 Kelengkapan Konfirmasi'!$C$7="","Belum",'VD.3 Kelengkapan Konfirmasi'!$C$7)</f>
        <v/>
      </c>
      <c r="J10" s="17">
        <f>IF('VD.3 Kelengkapan Konfirmasi'!$C$8="","",'VD.3 Kelengkapan Konfirmasi'!$C$8)</f>
        <v/>
      </c>
      <c r="K10" s="17">
        <f>IF('VD.3 Kelengkapan Konfirmasi'!$C$9="","",'VD.3 Kelengkapan Konfirmasi'!$C$9)</f>
        <v/>
      </c>
      <c r="L10" s="18" t="inlineStr">
        <is>
          <t>VD.3 Kelengkapan Konfirmasi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VD.1 · Analisis Konten pada Beban Umum Administrasi dan Beban Umum Lainnya</t>
        </is>
      </c>
      <c r="H2" s="3" t="inlineStr">
        <is>
          <t>Indeks KK</t>
        </is>
      </c>
      <c r="I2" s="4" t="inlineStr">
        <is>
          <t>VD.1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isi akun beban umum per jenis; bandingkan dengan tahun lalu dan anggaran.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VD.2 · Tinjauan Dokumentasi Penunjang</t>
        </is>
      </c>
      <c r="F2" s="3" t="inlineStr">
        <is>
          <t>Indeks KK</t>
        </is>
      </c>
      <c r="G2" s="4" t="inlineStr">
        <is>
          <t>VD.2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beban ke dokumen pendukung dan persetujuan.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VD.3 · Kelengkapan Konfirmasi dari Pengacara Perusahaan</t>
        </is>
      </c>
      <c r="F2" s="3" t="inlineStr">
        <is>
          <t>Indeks KK</t>
        </is>
      </c>
      <c r="G2" s="4" t="inlineStr">
        <is>
          <t>VD.3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beban jasa hukum dengan daftar konsultan hukum yang dikirimi konfirmasi.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