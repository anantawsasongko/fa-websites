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-7 Material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3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2" borderId="1" applyProtection="1" pivotButton="0" quotePrefix="0" xfId="0">
      <protection locked="0" hidden="0"/>
    </xf>
    <xf numFmtId="10" fontId="5" fillId="2" borderId="1" applyProtection="1" pivotButton="0" quotePrefix="0" xfId="0">
      <protection locked="0" hidden="0"/>
    </xf>
    <xf numFmtId="0" fontId="5" fillId="2" borderId="1" applyAlignment="1" applyProtection="1" pivotButton="0" quotePrefix="0" xfId="0">
      <alignment vertical="top" wrapText="1"/>
      <protection locked="0" hidden="0"/>
    </xf>
    <xf numFmtId="0" fontId="4" fillId="0" borderId="1" pivotButton="0" quotePrefix="0" xfId="0"/>
    <xf numFmtId="164" fontId="4" fillId="0" borderId="1" pivotButton="0" quotePrefix="0" xfId="0"/>
    <xf numFmtId="164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Materialitas Perencanaan (Hirarki OM, PM, CT)</t>
        </is>
      </c>
      <c r="D2" s="3" t="inlineStr">
        <is>
          <t>Indeks KK</t>
        </is>
      </c>
      <c r="E2" s="4" t="inlineStr">
        <is>
          <t>B-7</t>
        </is>
      </c>
    </row>
    <row r="3" ht="26" customHeight="1">
      <c r="C3" s="3" t="inlineStr">
        <is>
          <t>Klien</t>
        </is>
      </c>
      <c r="D3" s="5" t="inlineStr">
        <is>
          <t>Disusun/Tgl</t>
        </is>
      </c>
      <c r="E3" s="6" t="n"/>
    </row>
    <row r="4" ht="26" customHeight="1">
      <c r="C4" s="3" t="inlineStr">
        <is>
          <t>Periode</t>
        </is>
      </c>
      <c r="D4" s="5" t="inlineStr">
        <is>
          <t>Direview/Tgl</t>
        </is>
      </c>
      <c r="E4" s="6" t="n"/>
    </row>
    <row r="6">
      <c r="A6" s="7" t="inlineStr">
        <is>
          <t>A. Benchmark</t>
        </is>
      </c>
    </row>
    <row r="7" ht="30" customHeight="1">
      <c r="A7" s="8" t="inlineStr">
        <is>
          <t>Benchmark</t>
        </is>
      </c>
      <c r="B7" s="8" t="inlineStr">
        <is>
          <t>Planning (Prognosa)</t>
        </is>
      </c>
      <c r="C7" s="8" t="inlineStr">
        <is>
          <t>Final (TB Akhir)</t>
        </is>
      </c>
      <c r="D7" s="8" t="inlineStr">
        <is>
          <t>Rentang Lazim</t>
        </is>
      </c>
      <c r="E7" s="8" t="inlineStr">
        <is>
          <t>Catatan</t>
        </is>
      </c>
    </row>
    <row r="8">
      <c r="A8" s="9" t="inlineStr">
        <is>
          <t>Pendapatan</t>
        </is>
      </c>
      <c r="B8" s="10" t="n"/>
      <c r="C8" s="10" t="n"/>
      <c r="D8" s="9" t="inlineStr">
        <is>
          <t>0,5% sampai 2%</t>
        </is>
      </c>
      <c r="E8" s="6" t="n"/>
    </row>
    <row r="9">
      <c r="A9" s="9" t="inlineStr">
        <is>
          <t>Laba/surplus sebelum pajak</t>
        </is>
      </c>
      <c r="B9" s="10" t="n"/>
      <c r="C9" s="10" t="n"/>
      <c r="D9" s="9" t="inlineStr">
        <is>
          <t>5% sampai 10%</t>
        </is>
      </c>
      <c r="E9" s="6" t="n"/>
    </row>
    <row r="10">
      <c r="A10" s="9" t="inlineStr">
        <is>
          <t>Total aset</t>
        </is>
      </c>
      <c r="B10" s="10" t="n"/>
      <c r="C10" s="10" t="n"/>
      <c r="D10" s="9" t="inlineStr">
        <is>
          <t>0,5% sampai 2%</t>
        </is>
      </c>
      <c r="E10" s="6" t="n"/>
    </row>
    <row r="11">
      <c r="A11" s="9" t="inlineStr">
        <is>
          <t>Ekuitas/aset neto</t>
        </is>
      </c>
      <c r="B11" s="10" t="n"/>
      <c r="C11" s="10" t="n"/>
      <c r="D11" s="9" t="inlineStr">
        <is>
          <t>1% sampai 5%</t>
        </is>
      </c>
      <c r="E11" s="6" t="n"/>
    </row>
    <row r="13">
      <c r="A13" s="7" t="inlineStr">
        <is>
          <t>B. Parameter</t>
        </is>
      </c>
    </row>
    <row r="14">
      <c r="A14" s="9" t="inlineStr">
        <is>
          <t>Benchmark dipilih</t>
        </is>
      </c>
      <c r="B14" s="6" t="inlineStr">
        <is>
          <t>Pendapatan</t>
        </is>
      </c>
      <c r="C14" s="6" t="inlineStr">
        <is>
          <t>Pendapatan</t>
        </is>
      </c>
    </row>
    <row r="15">
      <c r="A15" s="9" t="inlineStr">
        <is>
          <t>Persentase benchmark</t>
        </is>
      </c>
      <c r="B15" s="11" t="n">
        <v>0.01</v>
      </c>
      <c r="C15" s="11" t="n">
        <v>0.01</v>
      </c>
    </row>
    <row r="16">
      <c r="A16" s="9" t="inlineStr">
        <is>
          <t>PM dari OM</t>
        </is>
      </c>
      <c r="B16" s="6" t="inlineStr">
        <is>
          <t>75%</t>
        </is>
      </c>
      <c r="C16" s="6" t="inlineStr">
        <is>
          <t>75%</t>
        </is>
      </c>
    </row>
    <row r="17">
      <c r="A17" s="9" t="inlineStr">
        <is>
          <t>Clearly trivial dari OM</t>
        </is>
      </c>
      <c r="B17" s="6" t="inlineStr">
        <is>
          <t>5%</t>
        </is>
      </c>
      <c r="C17" s="6" t="inlineStr">
        <is>
          <t>5%</t>
        </is>
      </c>
    </row>
    <row r="18">
      <c r="A18" s="9" t="inlineStr">
        <is>
          <t>Alasan pemilihan benchmark dan persentase</t>
        </is>
      </c>
      <c r="B18" s="12" t="n"/>
    </row>
    <row r="19"/>
    <row r="21">
      <c r="A21" s="7" t="inlineStr">
        <is>
          <t>C. Hasil</t>
        </is>
      </c>
    </row>
    <row r="22" ht="30" customHeight="1">
      <c r="A22" s="8" t="inlineStr">
        <is>
          <t>Lapisan</t>
        </is>
      </c>
      <c r="B22" s="8" t="inlineStr">
        <is>
          <t>Planning</t>
        </is>
      </c>
      <c r="C22" s="8" t="inlineStr">
        <is>
          <t>Final</t>
        </is>
      </c>
      <c r="D22" s="8" t="inlineStr">
        <is>
          <t>Perubahan</t>
        </is>
      </c>
      <c r="E22" s="8" t="inlineStr">
        <is>
          <t>Keterangan</t>
        </is>
      </c>
    </row>
    <row r="23">
      <c r="A23" s="13" t="inlineStr">
        <is>
          <t>Materialitas keseluruhan (OM)</t>
        </is>
      </c>
      <c r="B23" s="14">
        <f>IFERROR(INDEX(B8:B11,MATCH(B14,$A$8:$A$11,0))*B15,"")</f>
        <v/>
      </c>
      <c r="C23" s="14">
        <f>IFERROR(INDEX(C8:C11,MATCH(C14,$A$8:$A$11,0))*C15,"")</f>
        <v/>
      </c>
      <c r="D23" s="15">
        <f>IFERROR(C23-B23,"")</f>
        <v/>
      </c>
      <c r="E23" s="9" t="inlineStr">
        <is>
          <t>SA 320</t>
        </is>
      </c>
    </row>
    <row r="24">
      <c r="A24" s="9" t="inlineStr">
        <is>
          <t>Materialitas pelaksanaan (PM)</t>
        </is>
      </c>
      <c r="B24" s="15">
        <f>IFERROR(B23*VALUE(SUBSTITUTE(B16,"%",""))/100,"")</f>
        <v/>
      </c>
      <c r="C24" s="15">
        <f>IFERROR(C23*VALUE(SUBSTITUTE(C16,"%",""))/100,"")</f>
        <v/>
      </c>
      <c r="D24" s="15">
        <f>IFERROR(C24-B24,"")</f>
        <v/>
      </c>
      <c r="E24" s="9" t="inlineStr">
        <is>
          <t>Dasar akun signifikan dan sampel</t>
        </is>
      </c>
    </row>
    <row r="25">
      <c r="A25" s="9" t="inlineStr">
        <is>
          <t>Clearly trivial (CT)</t>
        </is>
      </c>
      <c r="B25" s="15">
        <f>IFERROR(B23*VALUE(SUBSTITUTE(B17,"%",""))/100,"")</f>
        <v/>
      </c>
      <c r="C25" s="15">
        <f>IFERROR(C23*VALUE(SUBSTITUTE(C17,"%",""))/100,"")</f>
        <v/>
      </c>
      <c r="D25" s="15">
        <f>IFERROR(C25-B25,"")</f>
        <v/>
      </c>
      <c r="E25" s="9" t="inlineStr">
        <is>
          <t>Ambang pencatatan salah saji</t>
        </is>
      </c>
    </row>
    <row r="27">
      <c r="A27" s="13" t="inlineStr">
        <is>
          <t>Evaluasi awal execution (SA 320 par. 12 dan 13)</t>
        </is>
      </c>
      <c r="B27" s="13">
        <f>IF(OR(B23="",C23=""),"",IF(C23&lt;B23,"OM final lebih rendah: tinjau ulang sifat, saat, dan luas prosedur","OM final tidak lebih rendah: rencana tetap memadai"))</f>
        <v/>
      </c>
      <c r="C27" s="16" t="n"/>
      <c r="D27" s="16" t="n"/>
      <c r="E27" s="17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2">
    <mergeCell ref="B27:E27"/>
    <mergeCell ref="B18:E19"/>
  </mergeCells>
  <dataValidations count="3">
    <dataValidation sqref="B14:C14" showDropDown="0" showInputMessage="0" showErrorMessage="0" allowBlank="1" type="list">
      <formula1>"Pendapatan,Laba/surplus sebelum pajak,Total aset,Ekuitas/aset neto"</formula1>
    </dataValidation>
    <dataValidation sqref="B16:C16" showDropDown="0" showInputMessage="0" showErrorMessage="0" allowBlank="1" type="list">
      <formula1>"50%,60%,75%"</formula1>
    </dataValidation>
    <dataValidation sqref="B17:C17" showDropDown="0" showInputMessage="0" showErrorMessage="0" allowBlank="1" type="list">
      <formula1>"3%,4%,5%"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2026-10-18T07:48:41Z</dcterms:created>
  <dcterms:modified xmlns:dcterms="http://purl.org/dc/terms/" xmlns:xsi="http://www.w3.org/2001/XMLSchema-instance" xsi:type="dcterms:W3CDTF">2026-10-18T07:48:41Z</dcterms:modified>
</cp:coreProperties>
</file>