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Uji Retur dan Rabat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Penjualan Neto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</t>
        </is>
      </c>
      <c r="D21" s="19" t="n"/>
      <c r="E21" s="20">
        <f>COUNTIF('UA Program'!$D$8:$D$10,"X")</f>
        <v/>
      </c>
      <c r="F21" s="20">
        <f>COUNTIFS('UA Program'!$D$8:$D$10,"X",'UA Program'!$I$8:$I$10,"Selesai")</f>
        <v/>
      </c>
      <c r="G21" s="20">
        <f>COUNTIFS('UA Program'!$D$8:$D$10,"X",'UA Program'!$J$8:$J$10,"Pengecualian")</f>
        <v/>
      </c>
      <c r="H21" s="16">
        <f>IF(E21=0,"n/a",IF(G21&gt;0,"TT",IF(F21+COUNTIFS('UA Program'!$D$8:$D$10,"X",'UA Program'!$I$8:$I$10,"Tidak Relevan")&lt;E21,"BD",IF(F21=0,"n/a",IF(COUNTIFS('UA Program'!$D$8:$D$10,"X",'UA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UA.2, UA.3</t>
        </is>
      </c>
      <c r="D22" s="19" t="n"/>
      <c r="E22" s="20">
        <f>COUNTIF('UA Program'!$E$8:$E$10,"X")</f>
        <v/>
      </c>
      <c r="F22" s="20">
        <f>COUNTIFS('UA Program'!$E$8:$E$10,"X",'UA Program'!$I$8:$I$10,"Selesai")</f>
        <v/>
      </c>
      <c r="G22" s="20">
        <f>COUNTIFS('UA Program'!$E$8:$E$10,"X",'UA Program'!$J$8:$J$10,"Pengecualian")</f>
        <v/>
      </c>
      <c r="H22" s="16">
        <f>IF(E22=0,"n/a",IF(G22&gt;0,"TT",IF(F22+COUNTIFS('UA Program'!$E$8:$E$10,"X",'UA Program'!$I$8:$I$10,"Tidak Relevan")&lt;E22,"BD",IF(F22=0,"n/a",IF(COUNTIFS('UA Program'!$E$8:$E$10,"X",'UA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UA.2, UA.3</t>
        </is>
      </c>
      <c r="D23" s="19" t="n"/>
      <c r="E23" s="20">
        <f>COUNTIF('UA Program'!$F$8:$F$10,"X")</f>
        <v/>
      </c>
      <c r="F23" s="20">
        <f>COUNTIFS('UA Program'!$F$8:$F$10,"X",'UA Program'!$I$8:$I$10,"Selesai")</f>
        <v/>
      </c>
      <c r="G23" s="20">
        <f>COUNTIFS('UA Program'!$F$8:$F$10,"X",'UA Program'!$J$8:$J$10,"Pengecualian")</f>
        <v/>
      </c>
      <c r="H23" s="16">
        <f>IF(E23=0,"n/a",IF(G23&gt;0,"TT",IF(F23+COUNTIFS('UA Program'!$F$8:$F$10,"X",'UA Program'!$I$8:$I$10,"Tidak Relevan")&lt;E23,"BD",IF(F23=0,"n/a",IF(COUNTIFS('UA Program'!$F$8:$F$10,"X",'UA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Program'!$H$8:$H$10,"X")</f>
        <v/>
      </c>
      <c r="F25" s="20">
        <f>COUNTIFS('UA Program'!$H$8:$H$10,"X",'UA Program'!$I$8:$I$10,"Selesai")</f>
        <v/>
      </c>
      <c r="G25" s="20">
        <f>COUNTIFS('UA Program'!$H$8:$H$10,"X",'UA Program'!$J$8:$J$10,"Pengecualian")</f>
        <v/>
      </c>
      <c r="H25" s="16">
        <f>IF(E25=0,"n/a",IF(G25&gt;0,"TT",IF(F25+COUNTIFS('UA Program'!$H$8:$H$10,"X",'UA Program'!$I$8:$I$10,"Tidak Relevan")&lt;E25,"BD",IF(F25=0,"n/a",IF(COUNTIFS('UA Program'!$H$8:$H$10,"X",'UA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penjualan Neto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Penjualan Neto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Uji Retur dan Rabat setelah Tanggal Neraca</t>
        </is>
      </c>
      <c r="C10" s="17" t="inlineStr">
        <is>
          <t>Tambahan</t>
        </is>
      </c>
      <c r="D10" s="20" t="n"/>
      <c r="E10" s="20" t="inlineStr">
        <is>
          <t>X</t>
        </is>
      </c>
      <c r="F10" s="20" t="inlineStr">
        <is>
          <t>X</t>
        </is>
      </c>
      <c r="G10" s="20" t="inlineStr">
        <is>
          <t>-</t>
        </is>
      </c>
      <c r="H10" s="20" t="n"/>
      <c r="I10" s="26">
        <f>IF('UA.3 Uji Retur dan Rabat'!$C$7="","Belum",'UA.3 Uji Retur dan Rabat'!$C$7)</f>
        <v/>
      </c>
      <c r="J10" s="17">
        <f>IF('UA.3 Uji Retur dan Rabat'!$C$8="","",'UA.3 Uji Retur dan Rabat'!$C$8)</f>
        <v/>
      </c>
      <c r="K10" s="17">
        <f>IF('UA.3 Uji Retur dan Rabat'!$C$9="","",'UA.3 Uji Retur dan Rabat'!$C$9)</f>
        <v/>
      </c>
      <c r="L10" s="18" t="inlineStr">
        <is>
          <t>UA.3 Uji Retur dan Rabat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Uji Retur dan Rabat setelah Tanggal Neraca</t>
        </is>
      </c>
      <c r="F2" s="3" t="inlineStr">
        <is>
          <t>Indeks KK</t>
        </is>
      </c>
      <c r="G2" s="4" t="inlineStr">
        <is>
          <t>UA.3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retur dan rabat setelah tanggal neraca sebagai imbalan variabel (PSAK 115).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