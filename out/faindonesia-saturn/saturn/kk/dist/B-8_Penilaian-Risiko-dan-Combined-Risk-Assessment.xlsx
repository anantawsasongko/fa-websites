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8 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2" customWidth="1" min="17" max="17"/>
    <col width="9" customWidth="1" min="18" max="1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Penilaian Risiko dan Combined Risk Assessment</t>
        </is>
      </c>
      <c r="Q2" s="3" t="inlineStr">
        <is>
          <t>Indeks KK</t>
        </is>
      </c>
      <c r="R2" s="4" t="inlineStr">
        <is>
          <t>B-8</t>
        </is>
      </c>
    </row>
    <row r="3" ht="26" customHeight="1">
      <c r="C3" s="3" t="inlineStr">
        <is>
          <t>Klien</t>
        </is>
      </c>
      <c r="D3" s="5" t="n"/>
      <c r="Q3" s="3" t="inlineStr">
        <is>
          <t>Disusun/Tgl</t>
        </is>
      </c>
      <c r="R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Q4" s="3" t="inlineStr">
        <is>
          <t>Direview/Tgl</t>
        </is>
      </c>
      <c r="R4" s="6" t="n"/>
    </row>
    <row r="6">
      <c r="A6" s="7" t="inlineStr">
        <is>
          <t>Parameter</t>
        </is>
      </c>
    </row>
    <row r="7">
      <c r="A7" s="3" t="inlineStr">
        <is>
          <t>PM (Rp)</t>
        </is>
      </c>
      <c r="C7" s="8" t="n"/>
      <c r="E7" s="3" t="inlineStr">
        <is>
          <t>Entitas</t>
        </is>
      </c>
      <c r="G7" s="6" t="inlineStr">
        <is>
          <t>Complex</t>
        </is>
      </c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Saldo</t>
        </is>
      </c>
      <c r="D9" s="9" t="inlineStr">
        <is>
          <t>M/TM</t>
        </is>
      </c>
      <c r="E9" s="9" t="inlineStr">
        <is>
          <t>IR E/O</t>
        </is>
      </c>
      <c r="F9" s="9" t="inlineStr">
        <is>
          <t>IR V/M</t>
        </is>
      </c>
      <c r="G9" s="9" t="inlineStr">
        <is>
          <t>IR C</t>
        </is>
      </c>
      <c r="H9" s="9" t="inlineStr">
        <is>
          <t>IR R</t>
        </is>
      </c>
      <c r="I9" s="9" t="inlineStr">
        <is>
          <t>IR P</t>
        </is>
      </c>
      <c r="J9" s="9" t="inlineStr">
        <is>
          <t>Andalkan Kontrol</t>
        </is>
      </c>
      <c r="K9" s="9" t="inlineStr">
        <is>
          <t>CR E/O</t>
        </is>
      </c>
      <c r="L9" s="9" t="inlineStr">
        <is>
          <t>CR V/M</t>
        </is>
      </c>
      <c r="M9" s="9" t="inlineStr">
        <is>
          <t>CR C</t>
        </is>
      </c>
      <c r="N9" s="9" t="inlineStr">
        <is>
          <t>CR R</t>
        </is>
      </c>
      <c r="O9" s="9" t="inlineStr">
        <is>
          <t>CR P</t>
        </is>
      </c>
      <c r="P9" s="9" t="inlineStr">
        <is>
          <t>CR Akun</t>
        </is>
      </c>
      <c r="Q9" s="9" t="inlineStr">
        <is>
          <t>Pendekatan</t>
        </is>
      </c>
      <c r="R9" s="9" t="inlineStr">
        <is>
          <t>Sampel*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11">
        <f>IF(OR(C10="",$C$7=""),"",IF(C10&gt;=$C$7,"M","TM"))</f>
        <v/>
      </c>
      <c r="E10" s="6" t="inlineStr">
        <is>
          <t>R</t>
        </is>
      </c>
      <c r="F10" s="6" t="inlineStr">
        <is>
          <t>R</t>
        </is>
      </c>
      <c r="G10" s="6" t="inlineStr">
        <is>
          <t>R</t>
        </is>
      </c>
      <c r="H10" s="6" t="inlineStr">
        <is>
          <t>R</t>
        </is>
      </c>
      <c r="I10" s="6" t="inlineStr">
        <is>
          <t>R</t>
        </is>
      </c>
      <c r="J10" s="6" t="inlineStr">
        <is>
          <t>T</t>
        </is>
      </c>
      <c r="K10" s="11">
        <f>IF(E10="n/a","n/a",IF(E10="SR","Tinggi",IF(E10="T",IF(AND(J10="Y",$G$7="Complex"),"Sedang","Tinggi"),IF(E10="S",IF(AND(J10="Y",$G$7="Complex"),"Rendah","Sedang"),IF(AND(J10="Y",$G$7="Complex"),"Minimal","Rendah")))))</f>
        <v/>
      </c>
      <c r="L10" s="11">
        <f>IF(F10="n/a","n/a",IF(F10="SR","Tinggi",IF(F10="T",IF(AND(J10="Y",$G$7="Complex"),"Sedang","Tinggi"),IF(F10="S",IF(AND(J10="Y",$G$7="Complex"),"Rendah","Sedang"),IF(AND(J10="Y",$G$7="Complex"),"Minimal","Rendah")))))</f>
        <v/>
      </c>
      <c r="M10" s="11">
        <f>IF(G10="n/a","n/a",IF(G10="SR","Tinggi",IF(G10="T",IF(AND(J10="Y",$G$7="Complex"),"Sedang","Tinggi"),IF(G10="S",IF(AND(J10="Y",$G$7="Complex"),"Rendah","Sedang"),IF(AND(J10="Y",$G$7="Complex"),"Minimal","Rendah")))))</f>
        <v/>
      </c>
      <c r="N10" s="11">
        <f>IF(H10="n/a","n/a",IF(H10="SR","Tinggi",IF(H10="T",IF(AND(J10="Y",$G$7="Complex"),"Sedang","Tinggi"),IF(H10="S",IF(AND(J10="Y",$G$7="Complex"),"Rendah","Sedang"),IF(AND(J10="Y",$G$7="Complex"),"Minimal","Rendah")))))</f>
        <v/>
      </c>
      <c r="O10" s="11">
        <f>IF(I10="n/a","n/a",IF(I10="SR","Tinggi",IF(I10="T",IF(AND(J10="Y",$G$7="Complex"),"Sedang","Tinggi"),IF(I10="S",IF(AND(J10="Y",$G$7="Complex"),"Rendah","Sedang"),IF(AND(J10="Y",$G$7="Complex"),"Minimal","Rendah")))))</f>
        <v/>
      </c>
      <c r="P10" s="10">
        <f>IF(COUNTIF(K10:O10,"Tinggi")&gt;0,"Tinggi",IF(COUNTIF(K10:O10,"Sedang")&gt;0,"Sedang",IF(COUNTIF(K10:O10,"Rendah")&gt;0,"Rendah","Minimal")))</f>
        <v/>
      </c>
      <c r="Q10" s="11">
        <f>IF(D10="TM","Analitis substantif",IF(P10="Minimal","Analitis substantif",IF(AND(J10="Y",$G$7="Complex"),"Andalkan kontrol + substantif","Substantif penuh")))</f>
        <v/>
      </c>
      <c r="R10" s="11">
        <f>IF(OR(D10="TM",P10="Minimal",$C$7=""),"A",MAX(3,MIN(CHOOSE(MATCH(P10,{"Rendah","Sedang","Tinggi"},0),15,30,60),ROUNDUP(C10/$C$7*CHOOSE(MATCH(P10,{"Rendah","Sedang","Tinggi"},0),1,1.6,2.3),0))))</f>
        <v/>
      </c>
    </row>
    <row r="11">
      <c r="A11" s="10" t="inlineStr">
        <is>
          <t>E</t>
        </is>
      </c>
      <c r="B11" s="6" t="inlineStr">
        <is>
          <t>Piutang Usaha</t>
        </is>
      </c>
      <c r="C11" s="8" t="n"/>
      <c r="D11" s="11">
        <f>IF(OR(C11="",$C$7=""),"",IF(C11&gt;=$C$7,"M","TM"))</f>
        <v/>
      </c>
      <c r="E11" s="6" t="inlineStr">
        <is>
          <t>S</t>
        </is>
      </c>
      <c r="F11" s="6" t="inlineStr">
        <is>
          <t>S</t>
        </is>
      </c>
      <c r="G11" s="6" t="inlineStr">
        <is>
          <t>R</t>
        </is>
      </c>
      <c r="H11" s="6" t="inlineStr">
        <is>
          <t>R</t>
        </is>
      </c>
      <c r="I11" s="6" t="inlineStr">
        <is>
          <t>R</t>
        </is>
      </c>
      <c r="J11" s="6" t="inlineStr">
        <is>
          <t>T</t>
        </is>
      </c>
      <c r="K11" s="11">
        <f>IF(E11="n/a","n/a",IF(E11="SR","Tinggi",IF(E11="T",IF(AND(J11="Y",$G$7="Complex"),"Sedang","Tinggi"),IF(E11="S",IF(AND(J11="Y",$G$7="Complex"),"Rendah","Sedang"),IF(AND(J11="Y",$G$7="Complex"),"Minimal","Rendah")))))</f>
        <v/>
      </c>
      <c r="L11" s="11">
        <f>IF(F11="n/a","n/a",IF(F11="SR","Tinggi",IF(F11="T",IF(AND(J11="Y",$G$7="Complex"),"Sedang","Tinggi"),IF(F11="S",IF(AND(J11="Y",$G$7="Complex"),"Rendah","Sedang"),IF(AND(J11="Y",$G$7="Complex"),"Minimal","Rendah")))))</f>
        <v/>
      </c>
      <c r="M11" s="11">
        <f>IF(G11="n/a","n/a",IF(G11="SR","Tinggi",IF(G11="T",IF(AND(J11="Y",$G$7="Complex"),"Sedang","Tinggi"),IF(G11="S",IF(AND(J11="Y",$G$7="Complex"),"Rendah","Sedang"),IF(AND(J11="Y",$G$7="Complex"),"Minimal","Rendah")))))</f>
        <v/>
      </c>
      <c r="N11" s="11">
        <f>IF(H11="n/a","n/a",IF(H11="SR","Tinggi",IF(H11="T",IF(AND(J11="Y",$G$7="Complex"),"Sedang","Tinggi"),IF(H11="S",IF(AND(J11="Y",$G$7="Complex"),"Rendah","Sedang"),IF(AND(J11="Y",$G$7="Complex"),"Minimal","Rendah")))))</f>
        <v/>
      </c>
      <c r="O11" s="11">
        <f>IF(I11="n/a","n/a",IF(I11="SR","Tinggi",IF(I11="T",IF(AND(J11="Y",$G$7="Complex"),"Sedang","Tinggi"),IF(I11="S",IF(AND(J11="Y",$G$7="Complex"),"Rendah","Sedang"),IF(AND(J11="Y",$G$7="Complex"),"Minimal","Rendah")))))</f>
        <v/>
      </c>
      <c r="P11" s="10">
        <f>IF(COUNTIF(K11:O11,"Tinggi")&gt;0,"Tinggi",IF(COUNTIF(K11:O11,"Sedang")&gt;0,"Sedang",IF(COUNTIF(K11:O11,"Rendah")&gt;0,"Rendah","Minimal")))</f>
        <v/>
      </c>
      <c r="Q11" s="11">
        <f>IF(D11="TM","Analitis substantif",IF(P11="Minimal","Analitis substantif",IF(AND(J11="Y",$G$7="Complex"),"Andalkan kontrol + substantif","Substantif penuh")))</f>
        <v/>
      </c>
      <c r="R11" s="11">
        <f>IF(OR(D11="TM",P11="Minimal",$C$7=""),"A",MAX(3,MIN(CHOOSE(MATCH(P11,{"Rendah","Sedang","Tinggi"},0),15,30,60),ROUNDUP(C11/$C$7*CHOOSE(MATCH(P11,{"Rendah","Sedang","Tinggi"},0),1,1.6,2.3),0))))</f>
        <v/>
      </c>
    </row>
    <row r="12">
      <c r="A12" s="10" t="inlineStr">
        <is>
          <t>F</t>
        </is>
      </c>
      <c r="B12" s="6" t="inlineStr">
        <is>
          <t>Persediaan Barang Dagang</t>
        </is>
      </c>
      <c r="C12" s="8" t="n"/>
      <c r="D12" s="11">
        <f>IF(OR(C12="",$C$7=""),"",IF(C12&gt;=$C$7,"M","TM"))</f>
        <v/>
      </c>
      <c r="E12" s="6" t="inlineStr">
        <is>
          <t>T</t>
        </is>
      </c>
      <c r="F12" s="6" t="inlineStr">
        <is>
          <t>S</t>
        </is>
      </c>
      <c r="G12" s="6" t="inlineStr">
        <is>
          <t>R</t>
        </is>
      </c>
      <c r="H12" s="6" t="inlineStr">
        <is>
          <t>R</t>
        </is>
      </c>
      <c r="I12" s="6" t="inlineStr">
        <is>
          <t>R</t>
        </is>
      </c>
      <c r="J12" s="6" t="inlineStr">
        <is>
          <t>T</t>
        </is>
      </c>
      <c r="K12" s="11">
        <f>IF(E12="n/a","n/a",IF(E12="SR","Tinggi",IF(E12="T",IF(AND(J12="Y",$G$7="Complex"),"Sedang","Tinggi"),IF(E12="S",IF(AND(J12="Y",$G$7="Complex"),"Rendah","Sedang"),IF(AND(J12="Y",$G$7="Complex"),"Minimal","Rendah")))))</f>
        <v/>
      </c>
      <c r="L12" s="11">
        <f>IF(F12="n/a","n/a",IF(F12="SR","Tinggi",IF(F12="T",IF(AND(J12="Y",$G$7="Complex"),"Sedang","Tinggi"),IF(F12="S",IF(AND(J12="Y",$G$7="Complex"),"Rendah","Sedang"),IF(AND(J12="Y",$G$7="Complex"),"Minimal","Rendah")))))</f>
        <v/>
      </c>
      <c r="M12" s="11">
        <f>IF(G12="n/a","n/a",IF(G12="SR","Tinggi",IF(G12="T",IF(AND(J12="Y",$G$7="Complex"),"Sedang","Tinggi"),IF(G12="S",IF(AND(J12="Y",$G$7="Complex"),"Rendah","Sedang"),IF(AND(J12="Y",$G$7="Complex"),"Minimal","Rendah")))))</f>
        <v/>
      </c>
      <c r="N12" s="11">
        <f>IF(H12="n/a","n/a",IF(H12="SR","Tinggi",IF(H12="T",IF(AND(J12="Y",$G$7="Complex"),"Sedang","Tinggi"),IF(H12="S",IF(AND(J12="Y",$G$7="Complex"),"Rendah","Sedang"),IF(AND(J12="Y",$G$7="Complex"),"Minimal","Rendah")))))</f>
        <v/>
      </c>
      <c r="O12" s="11">
        <f>IF(I12="n/a","n/a",IF(I12="SR","Tinggi",IF(I12="T",IF(AND(J12="Y",$G$7="Complex"),"Sedang","Tinggi"),IF(I12="S",IF(AND(J12="Y",$G$7="Complex"),"Rendah","Sedang"),IF(AND(J12="Y",$G$7="Complex"),"Minimal","Rendah")))))</f>
        <v/>
      </c>
      <c r="P12" s="10">
        <f>IF(COUNTIF(K12:O12,"Tinggi")&gt;0,"Tinggi",IF(COUNTIF(K12:O12,"Sedang")&gt;0,"Sedang",IF(COUNTIF(K12:O12,"Rendah")&gt;0,"Rendah","Minimal")))</f>
        <v/>
      </c>
      <c r="Q12" s="11">
        <f>IF(D12="TM","Analitis substantif",IF(P12="Minimal","Analitis substantif",IF(AND(J12="Y",$G$7="Complex"),"Andalkan kontrol + substantif","Substantif penuh")))</f>
        <v/>
      </c>
      <c r="R12" s="11">
        <f>IF(OR(D12="TM",P12="Minimal",$C$7=""),"A",MAX(3,MIN(CHOOSE(MATCH(P12,{"Rendah","Sedang","Tinggi"},0),15,30,60),ROUNDUP(C12/$C$7*CHOOSE(MATCH(P12,{"Rendah","Sedang","Tinggi"},0),1,1.6,2.3),0))))</f>
        <v/>
      </c>
    </row>
    <row r="13">
      <c r="A13" s="10" t="inlineStr">
        <is>
          <t>K</t>
        </is>
      </c>
      <c r="B13" s="6" t="inlineStr">
        <is>
          <t>Aset Tetap</t>
        </is>
      </c>
      <c r="C13" s="8" t="n"/>
      <c r="D13" s="11">
        <f>IF(OR(C13="",$C$7=""),"",IF(C13&gt;=$C$7,"M","TM"))</f>
        <v/>
      </c>
      <c r="E13" s="6" t="inlineStr">
        <is>
          <t>R</t>
        </is>
      </c>
      <c r="F13" s="6" t="inlineStr">
        <is>
          <t>R</t>
        </is>
      </c>
      <c r="G13" s="6" t="inlineStr">
        <is>
          <t>R</t>
        </is>
      </c>
      <c r="H13" s="6" t="inlineStr">
        <is>
          <t>R</t>
        </is>
      </c>
      <c r="I13" s="6" t="inlineStr">
        <is>
          <t>R</t>
        </is>
      </c>
      <c r="J13" s="6" t="inlineStr">
        <is>
          <t>T</t>
        </is>
      </c>
      <c r="K13" s="11">
        <f>IF(E13="n/a","n/a",IF(E13="SR","Tinggi",IF(E13="T",IF(AND(J13="Y",$G$7="Complex"),"Sedang","Tinggi"),IF(E13="S",IF(AND(J13="Y",$G$7="Complex"),"Rendah","Sedang"),IF(AND(J13="Y",$G$7="Complex"),"Minimal","Rendah")))))</f>
        <v/>
      </c>
      <c r="L13" s="11">
        <f>IF(F13="n/a","n/a",IF(F13="SR","Tinggi",IF(F13="T",IF(AND(J13="Y",$G$7="Complex"),"Sedang","Tinggi"),IF(F13="S",IF(AND(J13="Y",$G$7="Complex"),"Rendah","Sedang"),IF(AND(J13="Y",$G$7="Complex"),"Minimal","Rendah")))))</f>
        <v/>
      </c>
      <c r="M13" s="11">
        <f>IF(G13="n/a","n/a",IF(G13="SR","Tinggi",IF(G13="T",IF(AND(J13="Y",$G$7="Complex"),"Sedang","Tinggi"),IF(G13="S",IF(AND(J13="Y",$G$7="Complex"),"Rendah","Sedang"),IF(AND(J13="Y",$G$7="Complex"),"Minimal","Rendah")))))</f>
        <v/>
      </c>
      <c r="N13" s="11">
        <f>IF(H13="n/a","n/a",IF(H13="SR","Tinggi",IF(H13="T",IF(AND(J13="Y",$G$7="Complex"),"Sedang","Tinggi"),IF(H13="S",IF(AND(J13="Y",$G$7="Complex"),"Rendah","Sedang"),IF(AND(J13="Y",$G$7="Complex"),"Minimal","Rendah")))))</f>
        <v/>
      </c>
      <c r="O13" s="11">
        <f>IF(I13="n/a","n/a",IF(I13="SR","Tinggi",IF(I13="T",IF(AND(J13="Y",$G$7="Complex"),"Sedang","Tinggi"),IF(I13="S",IF(AND(J13="Y",$G$7="Complex"),"Rendah","Sedang"),IF(AND(J13="Y",$G$7="Complex"),"Minimal","Rendah")))))</f>
        <v/>
      </c>
      <c r="P13" s="10">
        <f>IF(COUNTIF(K13:O13,"Tinggi")&gt;0,"Tinggi",IF(COUNTIF(K13:O13,"Sedang")&gt;0,"Sedang",IF(COUNTIF(K13:O13,"Rendah")&gt;0,"Rendah","Minimal")))</f>
        <v/>
      </c>
      <c r="Q13" s="11">
        <f>IF(D13="TM","Analitis substantif",IF(P13="Minimal","Analitis substantif",IF(AND(J13="Y",$G$7="Complex"),"Andalkan kontrol + substantif","Substantif penuh")))</f>
        <v/>
      </c>
      <c r="R13" s="11">
        <f>IF(OR(D13="TM",P13="Minimal",$C$7=""),"A",MAX(3,MIN(CHOOSE(MATCH(P13,{"Rendah","Sedang","Tinggi"},0),15,30,60),ROUNDUP(C13/$C$7*CHOOSE(MATCH(P13,{"Rendah","Sedang","Tinggi"},0),1,1.6,2.3),0))))</f>
        <v/>
      </c>
    </row>
    <row r="14">
      <c r="A14" s="10" t="inlineStr">
        <is>
          <t>M</t>
        </is>
      </c>
      <c r="B14" s="6" t="inlineStr">
        <is>
          <t>Utang Bank</t>
        </is>
      </c>
      <c r="C14" s="8" t="n"/>
      <c r="D14" s="11">
        <f>IF(OR(C14="",$C$7=""),"",IF(C14&gt;=$C$7,"M","TM"))</f>
        <v/>
      </c>
      <c r="E14" s="6" t="inlineStr">
        <is>
          <t>R</t>
        </is>
      </c>
      <c r="F14" s="6" t="inlineStr">
        <is>
          <t>R</t>
        </is>
      </c>
      <c r="G14" s="6" t="inlineStr">
        <is>
          <t>R</t>
        </is>
      </c>
      <c r="H14" s="6" t="inlineStr">
        <is>
          <t>R</t>
        </is>
      </c>
      <c r="I14" s="6" t="inlineStr">
        <is>
          <t>R</t>
        </is>
      </c>
      <c r="J14" s="6" t="inlineStr">
        <is>
          <t>T</t>
        </is>
      </c>
      <c r="K14" s="11">
        <f>IF(E14="n/a","n/a",IF(E14="SR","Tinggi",IF(E14="T",IF(AND(J14="Y",$G$7="Complex"),"Sedang","Tinggi"),IF(E14="S",IF(AND(J14="Y",$G$7="Complex"),"Rendah","Sedang"),IF(AND(J14="Y",$G$7="Complex"),"Minimal","Rendah")))))</f>
        <v/>
      </c>
      <c r="L14" s="11">
        <f>IF(F14="n/a","n/a",IF(F14="SR","Tinggi",IF(F14="T",IF(AND(J14="Y",$G$7="Complex"),"Sedang","Tinggi"),IF(F14="S",IF(AND(J14="Y",$G$7="Complex"),"Rendah","Sedang"),IF(AND(J14="Y",$G$7="Complex"),"Minimal","Rendah")))))</f>
        <v/>
      </c>
      <c r="M14" s="11">
        <f>IF(G14="n/a","n/a",IF(G14="SR","Tinggi",IF(G14="T",IF(AND(J14="Y",$G$7="Complex"),"Sedang","Tinggi"),IF(G14="S",IF(AND(J14="Y",$G$7="Complex"),"Rendah","Sedang"),IF(AND(J14="Y",$G$7="Complex"),"Minimal","Rendah")))))</f>
        <v/>
      </c>
      <c r="N14" s="11">
        <f>IF(H14="n/a","n/a",IF(H14="SR","Tinggi",IF(H14="T",IF(AND(J14="Y",$G$7="Complex"),"Sedang","Tinggi"),IF(H14="S",IF(AND(J14="Y",$G$7="Complex"),"Rendah","Sedang"),IF(AND(J14="Y",$G$7="Complex"),"Minimal","Rendah")))))</f>
        <v/>
      </c>
      <c r="O14" s="11">
        <f>IF(I14="n/a","n/a",IF(I14="SR","Tinggi",IF(I14="T",IF(AND(J14="Y",$G$7="Complex"),"Sedang","Tinggi"),IF(I14="S",IF(AND(J14="Y",$G$7="Complex"),"Rendah","Sedang"),IF(AND(J14="Y",$G$7="Complex"),"Minimal","Rendah")))))</f>
        <v/>
      </c>
      <c r="P14" s="10">
        <f>IF(COUNTIF(K14:O14,"Tinggi")&gt;0,"Tinggi",IF(COUNTIF(K14:O14,"Sedang")&gt;0,"Sedang",IF(COUNTIF(K14:O14,"Rendah")&gt;0,"Rendah","Minimal")))</f>
        <v/>
      </c>
      <c r="Q14" s="11">
        <f>IF(D14="TM","Analitis substantif",IF(P14="Minimal","Analitis substantif",IF(AND(J14="Y",$G$7="Complex"),"Andalkan kontrol + substantif","Substantif penuh")))</f>
        <v/>
      </c>
      <c r="R14" s="11">
        <f>IF(OR(D14="TM",P14="Minimal",$C$7=""),"A",MAX(3,MIN(CHOOSE(MATCH(P14,{"Rendah","Sedang","Tinggi"},0),15,30,60),ROUNDUP(C14/$C$7*CHOOSE(MATCH(P14,{"Rendah","Sedang","Tinggi"},0),1,1.6,2.3),0))))</f>
        <v/>
      </c>
    </row>
    <row r="15">
      <c r="A15" s="10" t="inlineStr">
        <is>
          <t>N</t>
        </is>
      </c>
      <c r="B15" s="6" t="inlineStr">
        <is>
          <t>Utang Usaha Prinsipal</t>
        </is>
      </c>
      <c r="C15" s="8" t="n"/>
      <c r="D15" s="11">
        <f>IF(OR(C15="",$C$7=""),"",IF(C15&gt;=$C$7,"M","TM"))</f>
        <v/>
      </c>
      <c r="E15" s="6" t="inlineStr">
        <is>
          <t>R</t>
        </is>
      </c>
      <c r="F15" s="6" t="inlineStr">
        <is>
          <t>R</t>
        </is>
      </c>
      <c r="G15" s="6" t="inlineStr">
        <is>
          <t>S</t>
        </is>
      </c>
      <c r="H15" s="6" t="inlineStr">
        <is>
          <t>R</t>
        </is>
      </c>
      <c r="I15" s="6" t="inlineStr">
        <is>
          <t>R</t>
        </is>
      </c>
      <c r="J15" s="6" t="inlineStr">
        <is>
          <t>T</t>
        </is>
      </c>
      <c r="K15" s="11">
        <f>IF(E15="n/a","n/a",IF(E15="SR","Tinggi",IF(E15="T",IF(AND(J15="Y",$G$7="Complex"),"Sedang","Tinggi"),IF(E15="S",IF(AND(J15="Y",$G$7="Complex"),"Rendah","Sedang"),IF(AND(J15="Y",$G$7="Complex"),"Minimal","Rendah")))))</f>
        <v/>
      </c>
      <c r="L15" s="11">
        <f>IF(F15="n/a","n/a",IF(F15="SR","Tinggi",IF(F15="T",IF(AND(J15="Y",$G$7="Complex"),"Sedang","Tinggi"),IF(F15="S",IF(AND(J15="Y",$G$7="Complex"),"Rendah","Sedang"),IF(AND(J15="Y",$G$7="Complex"),"Minimal","Rendah")))))</f>
        <v/>
      </c>
      <c r="M15" s="11">
        <f>IF(G15="n/a","n/a",IF(G15="SR","Tinggi",IF(G15="T",IF(AND(J15="Y",$G$7="Complex"),"Sedang","Tinggi"),IF(G15="S",IF(AND(J15="Y",$G$7="Complex"),"Rendah","Sedang"),IF(AND(J15="Y",$G$7="Complex"),"Minimal","Rendah")))))</f>
        <v/>
      </c>
      <c r="N15" s="11">
        <f>IF(H15="n/a","n/a",IF(H15="SR","Tinggi",IF(H15="T",IF(AND(J15="Y",$G$7="Complex"),"Sedang","Tinggi"),IF(H15="S",IF(AND(J15="Y",$G$7="Complex"),"Rendah","Sedang"),IF(AND(J15="Y",$G$7="Complex"),"Minimal","Rendah")))))</f>
        <v/>
      </c>
      <c r="O15" s="11">
        <f>IF(I15="n/a","n/a",IF(I15="SR","Tinggi",IF(I15="T",IF(AND(J15="Y",$G$7="Complex"),"Sedang","Tinggi"),IF(I15="S",IF(AND(J15="Y",$G$7="Complex"),"Rendah","Sedang"),IF(AND(J15="Y",$G$7="Complex"),"Minimal","Rendah")))))</f>
        <v/>
      </c>
      <c r="P15" s="10">
        <f>IF(COUNTIF(K15:O15,"Tinggi")&gt;0,"Tinggi",IF(COUNTIF(K15:O15,"Sedang")&gt;0,"Sedang",IF(COUNTIF(K15:O15,"Rendah")&gt;0,"Rendah","Minimal")))</f>
        <v/>
      </c>
      <c r="Q15" s="11">
        <f>IF(D15="TM","Analitis substantif",IF(P15="Minimal","Analitis substantif",IF(AND(J15="Y",$G$7="Complex"),"Andalkan kontrol + substantif","Substantif penuh")))</f>
        <v/>
      </c>
      <c r="R15" s="11">
        <f>IF(OR(D15="TM",P15="Minimal",$C$7=""),"A",MAX(3,MIN(CHOOSE(MATCH(P15,{"Rendah","Sedang","Tinggi"},0),15,30,60),ROUNDUP(C15/$C$7*CHOOSE(MATCH(P15,{"Rendah","Sedang","Tinggi"},0),1,1.6,2.3),0))))</f>
        <v/>
      </c>
    </row>
    <row r="16">
      <c r="A16" s="10" t="inlineStr">
        <is>
          <t>O</t>
        </is>
      </c>
      <c r="B16" s="6" t="inlineStr">
        <is>
          <t>Utang Pajak</t>
        </is>
      </c>
      <c r="C16" s="8" t="n"/>
      <c r="D16" s="11">
        <f>IF(OR(C16="",$C$7=""),"",IF(C16&gt;=$C$7,"M","TM"))</f>
        <v/>
      </c>
      <c r="E16" s="6" t="inlineStr">
        <is>
          <t>R</t>
        </is>
      </c>
      <c r="F16" s="6" t="inlineStr">
        <is>
          <t>S</t>
        </is>
      </c>
      <c r="G16" s="6" t="inlineStr">
        <is>
          <t>R</t>
        </is>
      </c>
      <c r="H16" s="6" t="inlineStr">
        <is>
          <t>R</t>
        </is>
      </c>
      <c r="I16" s="6" t="inlineStr">
        <is>
          <t>R</t>
        </is>
      </c>
      <c r="J16" s="6" t="inlineStr">
        <is>
          <t>T</t>
        </is>
      </c>
      <c r="K16" s="11">
        <f>IF(E16="n/a","n/a",IF(E16="SR","Tinggi",IF(E16="T",IF(AND(J16="Y",$G$7="Complex"),"Sedang","Tinggi"),IF(E16="S",IF(AND(J16="Y",$G$7="Complex"),"Rendah","Sedang"),IF(AND(J16="Y",$G$7="Complex"),"Minimal","Rendah")))))</f>
        <v/>
      </c>
      <c r="L16" s="11">
        <f>IF(F16="n/a","n/a",IF(F16="SR","Tinggi",IF(F16="T",IF(AND(J16="Y",$G$7="Complex"),"Sedang","Tinggi"),IF(F16="S",IF(AND(J16="Y",$G$7="Complex"),"Rendah","Sedang"),IF(AND(J16="Y",$G$7="Complex"),"Minimal","Rendah")))))</f>
        <v/>
      </c>
      <c r="M16" s="11">
        <f>IF(G16="n/a","n/a",IF(G16="SR","Tinggi",IF(G16="T",IF(AND(J16="Y",$G$7="Complex"),"Sedang","Tinggi"),IF(G16="S",IF(AND(J16="Y",$G$7="Complex"),"Rendah","Sedang"),IF(AND(J16="Y",$G$7="Complex"),"Minimal","Rendah")))))</f>
        <v/>
      </c>
      <c r="N16" s="11">
        <f>IF(H16="n/a","n/a",IF(H16="SR","Tinggi",IF(H16="T",IF(AND(J16="Y",$G$7="Complex"),"Sedang","Tinggi"),IF(H16="S",IF(AND(J16="Y",$G$7="Complex"),"Rendah","Sedang"),IF(AND(J16="Y",$G$7="Complex"),"Minimal","Rendah")))))</f>
        <v/>
      </c>
      <c r="O16" s="11">
        <f>IF(I16="n/a","n/a",IF(I16="SR","Tinggi",IF(I16="T",IF(AND(J16="Y",$G$7="Complex"),"Sedang","Tinggi"),IF(I16="S",IF(AND(J16="Y",$G$7="Complex"),"Rendah","Sedang"),IF(AND(J16="Y",$G$7="Complex"),"Minimal","Rendah")))))</f>
        <v/>
      </c>
      <c r="P16" s="10">
        <f>IF(COUNTIF(K16:O16,"Tinggi")&gt;0,"Tinggi",IF(COUNTIF(K16:O16,"Sedang")&gt;0,"Sedang",IF(COUNTIF(K16:O16,"Rendah")&gt;0,"Rendah","Minimal")))</f>
        <v/>
      </c>
      <c r="Q16" s="11">
        <f>IF(D16="TM","Analitis substantif",IF(P16="Minimal","Analitis substantif",IF(AND(J16="Y",$G$7="Complex"),"Andalkan kontrol + substantif","Substantif penuh")))</f>
        <v/>
      </c>
      <c r="R16" s="11">
        <f>IF(OR(D16="TM",P16="Minimal",$C$7=""),"A",MAX(3,MIN(CHOOSE(MATCH(P16,{"Rendah","Sedang","Tinggi"},0),15,30,60),ROUNDUP(C16/$C$7*CHOOSE(MATCH(P16,{"Rendah","Sedang","Tinggi"},0),1,1.6,2.3),0))))</f>
        <v/>
      </c>
    </row>
    <row r="17">
      <c r="A17" s="10" t="inlineStr">
        <is>
          <t>T</t>
        </is>
      </c>
      <c r="B17" s="6" t="inlineStr">
        <is>
          <t>Ekuitas</t>
        </is>
      </c>
      <c r="C17" s="8" t="n"/>
      <c r="D17" s="11">
        <f>IF(OR(C17="",$C$7=""),"",IF(C17&gt;=$C$7,"M","TM"))</f>
        <v/>
      </c>
      <c r="E17" s="6" t="inlineStr">
        <is>
          <t>R</t>
        </is>
      </c>
      <c r="F17" s="6" t="inlineStr">
        <is>
          <t>R</t>
        </is>
      </c>
      <c r="G17" s="6" t="inlineStr">
        <is>
          <t>R</t>
        </is>
      </c>
      <c r="H17" s="6" t="inlineStr">
        <is>
          <t>R</t>
        </is>
      </c>
      <c r="I17" s="6" t="inlineStr">
        <is>
          <t>R</t>
        </is>
      </c>
      <c r="J17" s="6" t="inlineStr">
        <is>
          <t>T</t>
        </is>
      </c>
      <c r="K17" s="11">
        <f>IF(E17="n/a","n/a",IF(E17="SR","Tinggi",IF(E17="T",IF(AND(J17="Y",$G$7="Complex"),"Sedang","Tinggi"),IF(E17="S",IF(AND(J17="Y",$G$7="Complex"),"Rendah","Sedang"),IF(AND(J17="Y",$G$7="Complex"),"Minimal","Rendah")))))</f>
        <v/>
      </c>
      <c r="L17" s="11">
        <f>IF(F17="n/a","n/a",IF(F17="SR","Tinggi",IF(F17="T",IF(AND(J17="Y",$G$7="Complex"),"Sedang","Tinggi"),IF(F17="S",IF(AND(J17="Y",$G$7="Complex"),"Rendah","Sedang"),IF(AND(J17="Y",$G$7="Complex"),"Minimal","Rendah")))))</f>
        <v/>
      </c>
      <c r="M17" s="11">
        <f>IF(G17="n/a","n/a",IF(G17="SR","Tinggi",IF(G17="T",IF(AND(J17="Y",$G$7="Complex"),"Sedang","Tinggi"),IF(G17="S",IF(AND(J17="Y",$G$7="Complex"),"Rendah","Sedang"),IF(AND(J17="Y",$G$7="Complex"),"Minimal","Rendah")))))</f>
        <v/>
      </c>
      <c r="N17" s="11">
        <f>IF(H17="n/a","n/a",IF(H17="SR","Tinggi",IF(H17="T",IF(AND(J17="Y",$G$7="Complex"),"Sedang","Tinggi"),IF(H17="S",IF(AND(J17="Y",$G$7="Complex"),"Rendah","Sedang"),IF(AND(J17="Y",$G$7="Complex"),"Minimal","Rendah")))))</f>
        <v/>
      </c>
      <c r="O17" s="11">
        <f>IF(I17="n/a","n/a",IF(I17="SR","Tinggi",IF(I17="T",IF(AND(J17="Y",$G$7="Complex"),"Sedang","Tinggi"),IF(I17="S",IF(AND(J17="Y",$G$7="Complex"),"Rendah","Sedang"),IF(AND(J17="Y",$G$7="Complex"),"Minimal","Rendah")))))</f>
        <v/>
      </c>
      <c r="P17" s="10">
        <f>IF(COUNTIF(K17:O17,"Tinggi")&gt;0,"Tinggi",IF(COUNTIF(K17:O17,"Sedang")&gt;0,"Sedang",IF(COUNTIF(K17:O17,"Rendah")&gt;0,"Rendah","Minimal")))</f>
        <v/>
      </c>
      <c r="Q17" s="11">
        <f>IF(D17="TM","Analitis substantif",IF(P17="Minimal","Analitis substantif",IF(AND(J17="Y",$G$7="Complex"),"Andalkan kontrol + substantif","Substantif penuh")))</f>
        <v/>
      </c>
      <c r="R17" s="11">
        <f>IF(OR(D17="TM",P17="Minimal",$C$7=""),"A",MAX(3,MIN(CHOOSE(MATCH(P17,{"Rendah","Sedang","Tinggi"},0),15,30,60),ROUNDUP(C17/$C$7*CHOOSE(MATCH(P17,{"Rendah","Sedang","Tinggi"},0),1,1.6,2.3),0))))</f>
        <v/>
      </c>
    </row>
    <row r="18">
      <c r="A18" s="10" t="inlineStr">
        <is>
          <t>UA</t>
        </is>
      </c>
      <c r="B18" s="6" t="inlineStr">
        <is>
          <t>Penjualan Neto</t>
        </is>
      </c>
      <c r="C18" s="8" t="n"/>
      <c r="D18" s="11">
        <f>IF(OR(C18="",$C$7=""),"",IF(C18&gt;=$C$7,"M","TM"))</f>
        <v/>
      </c>
      <c r="E18" s="6" t="inlineStr">
        <is>
          <t>S</t>
        </is>
      </c>
      <c r="F18" s="6" t="inlineStr">
        <is>
          <t>S</t>
        </is>
      </c>
      <c r="G18" s="6" t="inlineStr">
        <is>
          <t>T</t>
        </is>
      </c>
      <c r="H18" s="11" t="inlineStr">
        <is>
          <t>n/a</t>
        </is>
      </c>
      <c r="I18" s="6" t="inlineStr">
        <is>
          <t>R</t>
        </is>
      </c>
      <c r="J18" s="6" t="inlineStr">
        <is>
          <t>T</t>
        </is>
      </c>
      <c r="K18" s="11">
        <f>IF(E18="n/a","n/a",IF(E18="SR","Tinggi",IF(E18="T",IF(AND(J18="Y",$G$7="Complex"),"Sedang","Tinggi"),IF(E18="S",IF(AND(J18="Y",$G$7="Complex"),"Rendah","Sedang"),IF(AND(J18="Y",$G$7="Complex"),"Minimal","Rendah")))))</f>
        <v/>
      </c>
      <c r="L18" s="11">
        <f>IF(F18="n/a","n/a",IF(F18="SR","Tinggi",IF(F18="T",IF(AND(J18="Y",$G$7="Complex"),"Sedang","Tinggi"),IF(F18="S",IF(AND(J18="Y",$G$7="Complex"),"Rendah","Sedang"),IF(AND(J18="Y",$G$7="Complex"),"Minimal","Rendah")))))</f>
        <v/>
      </c>
      <c r="M18" s="11">
        <f>IF(G18="n/a","n/a",IF(G18="SR","Tinggi",IF(G18="T",IF(AND(J18="Y",$G$7="Complex"),"Sedang","Tinggi"),IF(G18="S",IF(AND(J18="Y",$G$7="Complex"),"Rendah","Sedang"),IF(AND(J18="Y",$G$7="Complex"),"Minimal","Rendah")))))</f>
        <v/>
      </c>
      <c r="N18" s="11">
        <f>IF(H18="n/a","n/a",IF(H18="SR","Tinggi",IF(H18="T",IF(AND(J18="Y",$G$7="Complex"),"Sedang","Tinggi"),IF(H18="S",IF(AND(J18="Y",$G$7="Complex"),"Rendah","Sedang"),IF(AND(J18="Y",$G$7="Complex"),"Minimal","Rendah")))))</f>
        <v/>
      </c>
      <c r="O18" s="11">
        <f>IF(I18="n/a","n/a",IF(I18="SR","Tinggi",IF(I18="T",IF(AND(J18="Y",$G$7="Complex"),"Sedang","Tinggi"),IF(I18="S",IF(AND(J18="Y",$G$7="Complex"),"Rendah","Sedang"),IF(AND(J18="Y",$G$7="Complex"),"Minimal","Rendah")))))</f>
        <v/>
      </c>
      <c r="P18" s="10">
        <f>IF(COUNTIF(K18:O18,"Tinggi")&gt;0,"Tinggi",IF(COUNTIF(K18:O18,"Sedang")&gt;0,"Sedang",IF(COUNTIF(K18:O18,"Rendah")&gt;0,"Rendah","Minimal")))</f>
        <v/>
      </c>
      <c r="Q18" s="11">
        <f>IF(D18="TM","Analitis substantif",IF(P18="Minimal","Analitis substantif",IF(AND(J18="Y",$G$7="Complex"),"Andalkan kontrol + substantif","Substantif penuh")))</f>
        <v/>
      </c>
      <c r="R18" s="11">
        <f>IF(OR(D18="TM",P18="Minimal",$C$7=""),"A",MAX(3,MIN(CHOOSE(MATCH(P18,{"Rendah","Sedang","Tinggi"},0),15,30,60),ROUNDUP(C18/$C$7*CHOOSE(MATCH(P18,{"Rendah","Sedang","Tinggi"},0),1,1.6,2.3),0))))</f>
        <v/>
      </c>
    </row>
    <row r="19">
      <c r="A19" s="10" t="inlineStr">
        <is>
          <t>VA</t>
        </is>
      </c>
      <c r="B19" s="6" t="inlineStr">
        <is>
          <t>Harga Pokok Penjualan</t>
        </is>
      </c>
      <c r="C19" s="8" t="n"/>
      <c r="D19" s="11">
        <f>IF(OR(C19="",$C$7=""),"",IF(C19&gt;=$C$7,"M","TM"))</f>
        <v/>
      </c>
      <c r="E19" s="6" t="inlineStr">
        <is>
          <t>R</t>
        </is>
      </c>
      <c r="F19" s="6" t="inlineStr">
        <is>
          <t>R</t>
        </is>
      </c>
      <c r="G19" s="6" t="inlineStr">
        <is>
          <t>S</t>
        </is>
      </c>
      <c r="H19" s="11" t="inlineStr">
        <is>
          <t>n/a</t>
        </is>
      </c>
      <c r="I19" s="6" t="inlineStr">
        <is>
          <t>R</t>
        </is>
      </c>
      <c r="J19" s="6" t="inlineStr">
        <is>
          <t>T</t>
        </is>
      </c>
      <c r="K19" s="11">
        <f>IF(E19="n/a","n/a",IF(E19="SR","Tinggi",IF(E19="T",IF(AND(J19="Y",$G$7="Complex"),"Sedang","Tinggi"),IF(E19="S",IF(AND(J19="Y",$G$7="Complex"),"Rendah","Sedang"),IF(AND(J19="Y",$G$7="Complex"),"Minimal","Rendah")))))</f>
        <v/>
      </c>
      <c r="L19" s="11">
        <f>IF(F19="n/a","n/a",IF(F19="SR","Tinggi",IF(F19="T",IF(AND(J19="Y",$G$7="Complex"),"Sedang","Tinggi"),IF(F19="S",IF(AND(J19="Y",$G$7="Complex"),"Rendah","Sedang"),IF(AND(J19="Y",$G$7="Complex"),"Minimal","Rendah")))))</f>
        <v/>
      </c>
      <c r="M19" s="11">
        <f>IF(G19="n/a","n/a",IF(G19="SR","Tinggi",IF(G19="T",IF(AND(J19="Y",$G$7="Complex"),"Sedang","Tinggi"),IF(G19="S",IF(AND(J19="Y",$G$7="Complex"),"Rendah","Sedang"),IF(AND(J19="Y",$G$7="Complex"),"Minimal","Rendah")))))</f>
        <v/>
      </c>
      <c r="N19" s="11">
        <f>IF(H19="n/a","n/a",IF(H19="SR","Tinggi",IF(H19="T",IF(AND(J19="Y",$G$7="Complex"),"Sedang","Tinggi"),IF(H19="S",IF(AND(J19="Y",$G$7="Complex"),"Rendah","Sedang"),IF(AND(J19="Y",$G$7="Complex"),"Minimal","Rendah")))))</f>
        <v/>
      </c>
      <c r="O19" s="11">
        <f>IF(I19="n/a","n/a",IF(I19="SR","Tinggi",IF(I19="T",IF(AND(J19="Y",$G$7="Complex"),"Sedang","Tinggi"),IF(I19="S",IF(AND(J19="Y",$G$7="Complex"),"Rendah","Sedang"),IF(AND(J19="Y",$G$7="Complex"),"Minimal","Rendah")))))</f>
        <v/>
      </c>
      <c r="P19" s="10">
        <f>IF(COUNTIF(K19:O19,"Tinggi")&gt;0,"Tinggi",IF(COUNTIF(K19:O19,"Sedang")&gt;0,"Sedang",IF(COUNTIF(K19:O19,"Rendah")&gt;0,"Rendah","Minimal")))</f>
        <v/>
      </c>
      <c r="Q19" s="11">
        <f>IF(D19="TM","Analitis substantif",IF(P19="Minimal","Analitis substantif",IF(AND(J19="Y",$G$7="Complex"),"Andalkan kontrol + substantif","Substantif penuh")))</f>
        <v/>
      </c>
      <c r="R19" s="11">
        <f>IF(OR(D19="TM",P19="Minimal",$C$7=""),"A",MAX(3,MIN(CHOOSE(MATCH(P19,{"Rendah","Sedang","Tinggi"},0),15,30,60),ROUNDUP(C19/$C$7*CHOOSE(MATCH(P19,{"Rendah","Sedang","Tinggi"},0),1,1.6,2.3),0))))</f>
        <v/>
      </c>
    </row>
    <row r="20">
      <c r="A20" s="10" t="inlineStr">
        <is>
          <t>VD</t>
        </is>
      </c>
      <c r="B20" s="6" t="inlineStr">
        <is>
          <t>Beban Usaha</t>
        </is>
      </c>
      <c r="C20" s="8" t="n"/>
      <c r="D20" s="11">
        <f>IF(OR(C20="",$C$7=""),"",IF(C20&gt;=$C$7,"M","TM"))</f>
        <v/>
      </c>
      <c r="E20" s="6" t="inlineStr">
        <is>
          <t>R</t>
        </is>
      </c>
      <c r="F20" s="6" t="inlineStr">
        <is>
          <t>R</t>
        </is>
      </c>
      <c r="G20" s="6" t="inlineStr">
        <is>
          <t>R</t>
        </is>
      </c>
      <c r="H20" s="11" t="inlineStr">
        <is>
          <t>n/a</t>
        </is>
      </c>
      <c r="I20" s="6" t="inlineStr">
        <is>
          <t>R</t>
        </is>
      </c>
      <c r="J20" s="6" t="inlineStr">
        <is>
          <t>T</t>
        </is>
      </c>
      <c r="K20" s="11">
        <f>IF(E20="n/a","n/a",IF(E20="SR","Tinggi",IF(E20="T",IF(AND(J20="Y",$G$7="Complex"),"Sedang","Tinggi"),IF(E20="S",IF(AND(J20="Y",$G$7="Complex"),"Rendah","Sedang"),IF(AND(J20="Y",$G$7="Complex"),"Minimal","Rendah")))))</f>
        <v/>
      </c>
      <c r="L20" s="11">
        <f>IF(F20="n/a","n/a",IF(F20="SR","Tinggi",IF(F20="T",IF(AND(J20="Y",$G$7="Complex"),"Sedang","Tinggi"),IF(F20="S",IF(AND(J20="Y",$G$7="Complex"),"Rendah","Sedang"),IF(AND(J20="Y",$G$7="Complex"),"Minimal","Rendah")))))</f>
        <v/>
      </c>
      <c r="M20" s="11">
        <f>IF(G20="n/a","n/a",IF(G20="SR","Tinggi",IF(G20="T",IF(AND(J20="Y",$G$7="Complex"),"Sedang","Tinggi"),IF(G20="S",IF(AND(J20="Y",$G$7="Complex"),"Rendah","Sedang"),IF(AND(J20="Y",$G$7="Complex"),"Minimal","Rendah")))))</f>
        <v/>
      </c>
      <c r="N20" s="11">
        <f>IF(H20="n/a","n/a",IF(H20="SR","Tinggi",IF(H20="T",IF(AND(J20="Y",$G$7="Complex"),"Sedang","Tinggi"),IF(H20="S",IF(AND(J20="Y",$G$7="Complex"),"Rendah","Sedang"),IF(AND(J20="Y",$G$7="Complex"),"Minimal","Rendah")))))</f>
        <v/>
      </c>
      <c r="O20" s="11">
        <f>IF(I20="n/a","n/a",IF(I20="SR","Tinggi",IF(I20="T",IF(AND(J20="Y",$G$7="Complex"),"Sedang","Tinggi"),IF(I20="S",IF(AND(J20="Y",$G$7="Complex"),"Rendah","Sedang"),IF(AND(J20="Y",$G$7="Complex"),"Minimal","Rendah")))))</f>
        <v/>
      </c>
      <c r="P20" s="10">
        <f>IF(COUNTIF(K20:O20,"Tinggi")&gt;0,"Tinggi",IF(COUNTIF(K20:O20,"Sedang")&gt;0,"Sedang",IF(COUNTIF(K20:O20,"Rendah")&gt;0,"Rendah","Minimal")))</f>
        <v/>
      </c>
      <c r="Q20" s="11">
        <f>IF(D20="TM","Analitis substantif",IF(P20="Minimal","Analitis substantif",IF(AND(J20="Y",$G$7="Complex"),"Andalkan kontrol + substantif","Substantif penuh")))</f>
        <v/>
      </c>
      <c r="R20" s="11">
        <f>IF(OR(D20="TM",P20="Minimal",$C$7=""),"A",MAX(3,MIN(CHOOSE(MATCH(P20,{"Rendah","Sedang","Tinggi"},0),15,30,60),ROUNDUP(C20/$C$7*CHOOSE(MATCH(P20,{"Rendah","Sedang","Tinggi"},0),1,1.6,2.3),0))))</f>
        <v/>
      </c>
    </row>
    <row r="22">
      <c r="A22" s="12" t="inlineStr">
        <is>
          <t>IR: R rendah, S sedang, T tinggi, SR risiko signifikan. Asersi neraca E keberadaan, V penilaian, C kelengkapan, R hak dan kewajiban, P penyajian; laba rugi O keterjadian, M pengukuran, C kelengkapan, P penyajian.</t>
        </is>
      </c>
    </row>
    <row r="23">
      <c r="A23" s="12" t="inlineStr">
        <is>
          <t>Pengandalan kontrol hanya berlaku untuk entitas Complex dan bila ToC SCOT-nya efektif (B-6E). Bila tidak efektif, ubah kolom Andalkan Kontrol menjadi T.</t>
        </is>
      </c>
    </row>
    <row r="24">
      <c r="A24" s="12" t="inlineStr">
        <is>
          <t>*Sampel ilustratif: saldo dibagi PM dikali faktor keyakinan (1; 1,6; 2,3), dibatasi 15/30/60, sebelum stratifikasi dan item kunci.</t>
        </is>
      </c>
    </row>
    <row r="26">
      <c r="A26" s="7" t="inlineStr">
        <is>
          <t>Risiko Signifikan dan Respons Khusus</t>
        </is>
      </c>
    </row>
    <row r="27" ht="30" customHeight="1">
      <c r="A27" s="9" t="inlineStr">
        <is>
          <t>No</t>
        </is>
      </c>
      <c r="B27" s="9" t="inlineStr">
        <is>
          <t>Risiko Signifikan</t>
        </is>
      </c>
      <c r="C27" s="9" t="inlineStr"/>
      <c r="D27" s="9" t="inlineStr"/>
      <c r="E27" s="9" t="inlineStr">
        <is>
          <t>Asersi</t>
        </is>
      </c>
      <c r="F27" s="9" t="inlineStr"/>
      <c r="G27" s="9" t="inlineStr"/>
      <c r="H27" s="9" t="inlineStr"/>
      <c r="I27" s="9" t="inlineStr"/>
      <c r="J27" s="9" t="inlineStr"/>
      <c r="K27" s="9" t="inlineStr">
        <is>
          <t>Respons Prosedur Khusus (SA 330)</t>
        </is>
      </c>
      <c r="L27" s="9" t="inlineStr"/>
      <c r="M27" s="9" t="inlineStr"/>
      <c r="N27" s="9" t="inlineStr"/>
      <c r="O27" s="9" t="inlineStr"/>
      <c r="P27" s="9" t="inlineStr"/>
      <c r="Q27" s="9" t="inlineStr"/>
      <c r="R27" s="9" t="inlineStr"/>
    </row>
    <row r="28">
      <c r="A28" s="11" t="n">
        <v>1</v>
      </c>
      <c r="B28" s="13" t="inlineStr">
        <is>
          <t>Pengabaian pengendalian oleh manajemen (SA 240)</t>
        </is>
      </c>
      <c r="E28" s="6" t="n"/>
      <c r="K28" s="13" t="inlineStr">
        <is>
          <t>Pengujian jurnal, reviu estimasi, transaksi tidak biasa (X-2)</t>
        </is>
      </c>
    </row>
    <row r="29">
      <c r="A29" s="11" t="n">
        <v>2</v>
      </c>
      <c r="B29" s="13" t="n"/>
      <c r="E29" s="6" t="n"/>
      <c r="K29" s="13" t="n"/>
    </row>
    <row r="30">
      <c r="A30" s="11" t="n">
        <v>3</v>
      </c>
      <c r="B30" s="13" t="n"/>
      <c r="E30" s="6" t="n"/>
      <c r="K30" s="13" t="n"/>
    </row>
    <row r="31">
      <c r="A31" s="11" t="n">
        <v>4</v>
      </c>
      <c r="B31" s="13" t="n"/>
      <c r="E31" s="6" t="n"/>
      <c r="K31" s="13" t="n"/>
    </row>
    <row r="32">
      <c r="A32" s="11" t="n">
        <v>5</v>
      </c>
      <c r="B32" s="13" t="n"/>
      <c r="E32" s="6" t="n"/>
      <c r="K32" s="13" t="n"/>
    </row>
    <row r="33">
      <c r="A33" s="11" t="n">
        <v>6</v>
      </c>
      <c r="B33" s="13" t="n"/>
      <c r="E33" s="6" t="n"/>
      <c r="K33" s="13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8">
    <mergeCell ref="B33:D33"/>
    <mergeCell ref="B28:D28"/>
    <mergeCell ref="K31:R31"/>
    <mergeCell ref="E33:J33"/>
    <mergeCell ref="E32:J32"/>
    <mergeCell ref="E28:J28"/>
    <mergeCell ref="B31:D31"/>
    <mergeCell ref="K29:R29"/>
    <mergeCell ref="K30:R30"/>
    <mergeCell ref="B32:D32"/>
    <mergeCell ref="K33:R33"/>
    <mergeCell ref="E31:J31"/>
    <mergeCell ref="B30:D30"/>
    <mergeCell ref="K32:R32"/>
    <mergeCell ref="K28:R28"/>
    <mergeCell ref="B29:D29"/>
    <mergeCell ref="E30:J30"/>
    <mergeCell ref="E29:J29"/>
  </mergeCells>
  <dataValidations count="3">
    <dataValidation sqref="G7" showDropDown="0" showInputMessage="0" showErrorMessage="0" allowBlank="1" type="list">
      <formula1>"Complex,Non-Complex"</formula1>
    </dataValidation>
    <dataValidation sqref="E10:I20" showDropDown="0" showInputMessage="0" showErrorMessage="0" allowBlank="1" type="list">
      <formula1>"R,S,T,SR,n/a"</formula1>
    </dataValidation>
    <dataValidation sqref="J10:J20" showDropDown="0" showInputMessage="0" showErrorMessage="0" allowBlank="1" type="list">
      <formula1>"Y,T"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