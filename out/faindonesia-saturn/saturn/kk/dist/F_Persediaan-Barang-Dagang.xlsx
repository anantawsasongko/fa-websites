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 Lead" sheetId="1" state="visible" r:id="rId1"/>
    <sheet xmlns:r="http://schemas.openxmlformats.org/officeDocument/2006/relationships" name="F Program" sheetId="2" state="visible" r:id="rId2"/>
    <sheet xmlns:r="http://schemas.openxmlformats.org/officeDocument/2006/relationships" name="F.1 Stock Opname" sheetId="3" state="visible" r:id="rId3"/>
    <sheet xmlns:r="http://schemas.openxmlformats.org/officeDocument/2006/relationships" name="F.2 Konfirmasi Persediaan yang" sheetId="4" state="visible" r:id="rId4"/>
    <sheet xmlns:r="http://schemas.openxmlformats.org/officeDocument/2006/relationships" name="F.3 Rekonsiliasi Kompilasi" sheetId="5" state="visible" r:id="rId5"/>
    <sheet xmlns:r="http://schemas.openxmlformats.org/officeDocument/2006/relationships" name="F.4 Prosedur Roll-Forward" sheetId="6" state="visible" r:id="rId6"/>
    <sheet xmlns:r="http://schemas.openxmlformats.org/officeDocument/2006/relationships" name="F.5 Cutoff Persediaan" sheetId="7" state="visible" r:id="rId7"/>
    <sheet xmlns:r="http://schemas.openxmlformats.org/officeDocument/2006/relationships" name="F.6 Penilaian Sesuai dengan" sheetId="8" state="visible" r:id="rId8"/>
    <sheet xmlns:r="http://schemas.openxmlformats.org/officeDocument/2006/relationships" name="F.7 Pengujian Nilai Realisasi" sheetId="9" state="visible" r:id="rId9"/>
    <sheet xmlns:r="http://schemas.openxmlformats.org/officeDocument/2006/relationships" name="F.8 Observasi Gudang dan" sheetId="10" state="visible" r:id="rId10"/>
    <sheet xmlns:r="http://schemas.openxmlformats.org/officeDocument/2006/relationships" name="Keteranga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F · Persediaan Barang Dagang</t>
        </is>
      </c>
      <c r="I2" s="3" t="inlineStr">
        <is>
          <t>Indeks KK</t>
        </is>
      </c>
      <c r="J2" s="4" t="inlineStr">
        <is>
          <t>F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F-1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F-2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F-3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F-4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F-5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F-6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F-7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F-8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F.1, F.2, F.5, F.8</t>
        </is>
      </c>
      <c r="D21" s="19" t="n"/>
      <c r="E21" s="20">
        <f>COUNTIF('F Program'!$D$8:$D$15,"X")</f>
        <v/>
      </c>
      <c r="F21" s="20">
        <f>COUNTIFS('F Program'!$D$8:$D$15,"X",'F Program'!$I$8:$I$15,"Selesai")</f>
        <v/>
      </c>
      <c r="G21" s="20">
        <f>COUNTIFS('F Program'!$D$8:$D$15,"X",'F Program'!$J$8:$J$15,"Pengecualian")</f>
        <v/>
      </c>
      <c r="H21" s="16">
        <f>IF(E21=0,"n/a",IF(G21&gt;0,"TT",IF(F21+COUNTIFS('F Program'!$D$8:$D$15,"X",'F Program'!$I$8:$I$15,"Tidak Relevan")&lt;E21,"BD",IF(F21=0,"n/a",IF(COUNTIFS('F Program'!$D$8:$D$15,"X",'F Program'!$J$8:$J$15,"Koreksi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F.1, F.3, F.4, F.6, F.7, F.8</t>
        </is>
      </c>
      <c r="D22" s="19" t="n"/>
      <c r="E22" s="20">
        <f>COUNTIF('F Program'!$E$8:$E$15,"X")</f>
        <v/>
      </c>
      <c r="F22" s="20">
        <f>COUNTIFS('F Program'!$E$8:$E$15,"X",'F Program'!$I$8:$I$15,"Selesai")</f>
        <v/>
      </c>
      <c r="G22" s="20">
        <f>COUNTIFS('F Program'!$E$8:$E$15,"X",'F Program'!$J$8:$J$15,"Pengecualian")</f>
        <v/>
      </c>
      <c r="H22" s="16">
        <f>IF(E22=0,"n/a",IF(G22&gt;0,"TT",IF(F22+COUNTIFS('F Program'!$E$8:$E$15,"X",'F Program'!$I$8:$I$15,"Tidak Relevan")&lt;E22,"BD",IF(F22=0,"n/a",IF(COUNTIFS('F Program'!$E$8:$E$15,"X",'F Program'!$J$8:$J$15,"Koreksi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F.1, F.2, F.3, F.4, F.5</t>
        </is>
      </c>
      <c r="D23" s="19" t="n"/>
      <c r="E23" s="20">
        <f>COUNTIF('F Program'!$F$8:$F$15,"X")</f>
        <v/>
      </c>
      <c r="F23" s="20">
        <f>COUNTIFS('F Program'!$F$8:$F$15,"X",'F Program'!$I$8:$I$15,"Selesai")</f>
        <v/>
      </c>
      <c r="G23" s="20">
        <f>COUNTIFS('F Program'!$F$8:$F$15,"X",'F Program'!$J$8:$J$15,"Pengecualian")</f>
        <v/>
      </c>
      <c r="H23" s="16">
        <f>IF(E23=0,"n/a",IF(G23&gt;0,"TT",IF(F23+COUNTIFS('F Program'!$F$8:$F$15,"X",'F Program'!$I$8:$I$15,"Tidak Relevan")&lt;E23,"BD",IF(F23=0,"n/a",IF(COUNTIFS('F Program'!$F$8:$F$15,"X",'F Program'!$J$8:$J$15,"Koreksi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F.1, F.2</t>
        </is>
      </c>
      <c r="D24" s="19" t="n"/>
      <c r="E24" s="20">
        <f>COUNTIF('F Program'!$G$8:$G$15,"X")</f>
        <v/>
      </c>
      <c r="F24" s="20">
        <f>COUNTIFS('F Program'!$G$8:$G$15,"X",'F Program'!$I$8:$I$15,"Selesai")</f>
        <v/>
      </c>
      <c r="G24" s="20">
        <f>COUNTIFS('F Program'!$G$8:$G$15,"X",'F Program'!$J$8:$J$15,"Pengecualian")</f>
        <v/>
      </c>
      <c r="H24" s="16">
        <f>IF(E24=0,"n/a",IF(G24&gt;0,"TT",IF(F24+COUNTIFS('F Program'!$G$8:$G$15,"X",'F Program'!$I$8:$I$15,"Tidak Relevan")&lt;E24,"BD",IF(F24=0,"n/a",IF(COUNTIFS('F Program'!$G$8:$G$15,"X",'F Program'!$J$8:$J$15,"Koreksi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F.6</t>
        </is>
      </c>
      <c r="D25" s="19" t="n"/>
      <c r="E25" s="20">
        <f>COUNTIF('F Program'!$H$8:$H$15,"X")</f>
        <v/>
      </c>
      <c r="F25" s="20">
        <f>COUNTIFS('F Program'!$H$8:$H$15,"X",'F Program'!$I$8:$I$15,"Selesai")</f>
        <v/>
      </c>
      <c r="G25" s="20">
        <f>COUNTIFS('F Program'!$H$8:$H$15,"X",'F Program'!$J$8:$J$15,"Pengecualian")</f>
        <v/>
      </c>
      <c r="H25" s="16">
        <f>IF(E25=0,"n/a",IF(G25&gt;0,"TT",IF(F25+COUNTIFS('F Program'!$H$8:$H$15,"X",'F Program'!$I$8:$I$15,"Tidak Relevan")&lt;E25,"BD",IF(F25=0,"n/a",IF(COUNTIFS('F Program'!$H$8:$H$15,"X",'F Program'!$J$8:$J$15,"Koreksi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persediaan Barang Dagang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F · Persediaan Barang Dagang</t>
        </is>
      </c>
      <c r="K2" s="3" t="inlineStr">
        <is>
          <t>Indeks KK</t>
        </is>
      </c>
      <c r="L2" s="4" t="inlineStr">
        <is>
          <t>F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F.1</t>
        </is>
      </c>
      <c r="B8" s="18" t="inlineStr">
        <is>
          <t>Stock Opname</t>
        </is>
      </c>
      <c r="C8" s="17" t="inlineStr">
        <is>
          <t>PSP</t>
        </is>
      </c>
      <c r="D8" s="20" t="inlineStr">
        <is>
          <t>X</t>
        </is>
      </c>
      <c r="E8" s="20" t="inlineStr">
        <is>
          <t>X</t>
        </is>
      </c>
      <c r="F8" s="20" t="inlineStr">
        <is>
          <t>X</t>
        </is>
      </c>
      <c r="G8" s="20" t="inlineStr">
        <is>
          <t>X</t>
        </is>
      </c>
      <c r="H8" s="20" t="n"/>
      <c r="I8" s="26">
        <f>IF('F.1 Stock Opname'!$C$7="","Belum",'F.1 Stock Opname'!$C$7)</f>
        <v/>
      </c>
      <c r="J8" s="17">
        <f>IF('F.1 Stock Opname'!$C$8="","",'F.1 Stock Opname'!$C$8)</f>
        <v/>
      </c>
      <c r="K8" s="17">
        <f>IF('F.1 Stock Opname'!$C$9="","",'F.1 Stock Opname'!$C$9)</f>
        <v/>
      </c>
      <c r="L8" s="18" t="inlineStr">
        <is>
          <t>F.1 Stock Opname</t>
        </is>
      </c>
    </row>
    <row r="9" ht="28" customHeight="1">
      <c r="A9" s="26" t="inlineStr">
        <is>
          <t>F.2</t>
        </is>
      </c>
      <c r="B9" s="18" t="inlineStr">
        <is>
          <t>Konfirmasi Persediaan yang Dipegang oleh Pihak Lain</t>
        </is>
      </c>
      <c r="C9" s="17" t="inlineStr">
        <is>
          <t>PSP</t>
        </is>
      </c>
      <c r="D9" s="20" t="inlineStr">
        <is>
          <t>X</t>
        </is>
      </c>
      <c r="E9" s="20" t="n"/>
      <c r="F9" s="20" t="inlineStr">
        <is>
          <t>X</t>
        </is>
      </c>
      <c r="G9" s="20" t="inlineStr">
        <is>
          <t>X</t>
        </is>
      </c>
      <c r="H9" s="20" t="n"/>
      <c r="I9" s="26">
        <f>IF('F.2 Konfirmasi Persediaan yang'!$C$7="","Belum",'F.2 Konfirmasi Persediaan yang'!$C$7)</f>
        <v/>
      </c>
      <c r="J9" s="17">
        <f>IF('F.2 Konfirmasi Persediaan yang'!$C$8="","",'F.2 Konfirmasi Persediaan yang'!$C$8)</f>
        <v/>
      </c>
      <c r="K9" s="17">
        <f>IF('F.2 Konfirmasi Persediaan yang'!$C$9="","",'F.2 Konfirmasi Persediaan yang'!$C$9)</f>
        <v/>
      </c>
      <c r="L9" s="18" t="inlineStr">
        <is>
          <t>F.2 Konfirmasi Persediaan yang</t>
        </is>
      </c>
    </row>
    <row r="10" ht="28" customHeight="1">
      <c r="A10" s="26" t="inlineStr">
        <is>
          <t>F.3</t>
        </is>
      </c>
      <c r="B10" s="18" t="inlineStr">
        <is>
          <t>Rekonsiliasi Kompilasi Persediaan dengan Buku Besar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IF('F.3 Rekonsiliasi Kompilasi'!$C$7="","Belum",'F.3 Rekonsiliasi Kompilasi'!$C$7)</f>
        <v/>
      </c>
      <c r="J10" s="17">
        <f>IF('F.3 Rekonsiliasi Kompilasi'!$C$8="","",'F.3 Rekonsiliasi Kompilasi'!$C$8)</f>
        <v/>
      </c>
      <c r="K10" s="17">
        <f>IF('F.3 Rekonsiliasi Kompilasi'!$C$9="","",'F.3 Rekonsiliasi Kompilasi'!$C$9)</f>
        <v/>
      </c>
      <c r="L10" s="18" t="inlineStr">
        <is>
          <t>F.3 Rekonsiliasi Kompilasi</t>
        </is>
      </c>
    </row>
    <row r="11" ht="28" customHeight="1">
      <c r="A11" s="26" t="inlineStr">
        <is>
          <t>F.4</t>
        </is>
      </c>
      <c r="B11" s="18" t="inlineStr">
        <is>
          <t>Prosedur Roll-Forward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IF('F.4 Prosedur Roll-Forward'!$C$7="","Belum",'F.4 Prosedur Roll-Forward'!$C$7)</f>
        <v/>
      </c>
      <c r="J11" s="17">
        <f>IF('F.4 Prosedur Roll-Forward'!$C$8="","",'F.4 Prosedur Roll-Forward'!$C$8)</f>
        <v/>
      </c>
      <c r="K11" s="17">
        <f>IF('F.4 Prosedur Roll-Forward'!$C$9="","",'F.4 Prosedur Roll-Forward'!$C$9)</f>
        <v/>
      </c>
      <c r="L11" s="18" t="inlineStr">
        <is>
          <t>F.4 Prosedur Roll-Forward</t>
        </is>
      </c>
    </row>
    <row r="12" ht="28" customHeight="1">
      <c r="A12" s="26" t="inlineStr">
        <is>
          <t>F.5</t>
        </is>
      </c>
      <c r="B12" s="18" t="inlineStr">
        <is>
          <t>Cutoff Persediaan</t>
        </is>
      </c>
      <c r="C12" s="17" t="inlineStr">
        <is>
          <t>PSP</t>
        </is>
      </c>
      <c r="D12" s="20" t="inlineStr">
        <is>
          <t>X</t>
        </is>
      </c>
      <c r="E12" s="20" t="n"/>
      <c r="F12" s="20" t="inlineStr">
        <is>
          <t>X</t>
        </is>
      </c>
      <c r="G12" s="20" t="n"/>
      <c r="H12" s="20" t="n"/>
      <c r="I12" s="26">
        <f>IF('F.5 Cutoff Persediaan'!$C$7="","Belum",'F.5 Cutoff Persediaan'!$C$7)</f>
        <v/>
      </c>
      <c r="J12" s="17">
        <f>IF('F.5 Cutoff Persediaan'!$C$8="","",'F.5 Cutoff Persediaan'!$C$8)</f>
        <v/>
      </c>
      <c r="K12" s="17">
        <f>IF('F.5 Cutoff Persediaan'!$C$9="","",'F.5 Cutoff Persediaan'!$C$9)</f>
        <v/>
      </c>
      <c r="L12" s="18" t="inlineStr">
        <is>
          <t>F.5 Cutoff Persediaan</t>
        </is>
      </c>
    </row>
    <row r="13" ht="28" customHeight="1">
      <c r="A13" s="26" t="inlineStr">
        <is>
          <t>F.6</t>
        </is>
      </c>
      <c r="B13" s="18" t="inlineStr">
        <is>
          <t>Penilaian Sesuai dengan Kebijakan Akuntansi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inlineStr">
        <is>
          <t>X</t>
        </is>
      </c>
      <c r="I13" s="26">
        <f>IF('F.6 Penilaian Sesuai dengan'!$C$7="","Belum",'F.6 Penilaian Sesuai dengan'!$C$7)</f>
        <v/>
      </c>
      <c r="J13" s="17">
        <f>IF('F.6 Penilaian Sesuai dengan'!$C$8="","",'F.6 Penilaian Sesuai dengan'!$C$8)</f>
        <v/>
      </c>
      <c r="K13" s="17">
        <f>IF('F.6 Penilaian Sesuai dengan'!$C$9="","",'F.6 Penilaian Sesuai dengan'!$C$9)</f>
        <v/>
      </c>
      <c r="L13" s="18" t="inlineStr">
        <is>
          <t>F.6 Penilaian Sesuai dengan</t>
        </is>
      </c>
    </row>
    <row r="14" ht="28" customHeight="1">
      <c r="A14" s="26" t="inlineStr">
        <is>
          <t>F.7</t>
        </is>
      </c>
      <c r="B14" s="18" t="inlineStr">
        <is>
          <t>Pengujian Nilai Realisasi Bersih</t>
        </is>
      </c>
      <c r="C14" s="17" t="inlineStr">
        <is>
          <t>PSP</t>
        </is>
      </c>
      <c r="D14" s="20" t="n"/>
      <c r="E14" s="20" t="inlineStr">
        <is>
          <t>X</t>
        </is>
      </c>
      <c r="F14" s="20" t="n"/>
      <c r="G14" s="20" t="n"/>
      <c r="H14" s="20" t="n"/>
      <c r="I14" s="26">
        <f>IF('F.7 Pengujian Nilai Realisasi'!$C$7="","Belum",'F.7 Pengujian Nilai Realisasi'!$C$7)</f>
        <v/>
      </c>
      <c r="J14" s="17">
        <f>IF('F.7 Pengujian Nilai Realisasi'!$C$8="","",'F.7 Pengujian Nilai Realisasi'!$C$8)</f>
        <v/>
      </c>
      <c r="K14" s="17">
        <f>IF('F.7 Pengujian Nilai Realisasi'!$C$9="","",'F.7 Pengujian Nilai Realisasi'!$C$9)</f>
        <v/>
      </c>
      <c r="L14" s="18" t="inlineStr">
        <is>
          <t>F.7 Pengujian Nilai Realisasi</t>
        </is>
      </c>
    </row>
    <row r="15" ht="28" customHeight="1">
      <c r="A15" s="26" t="inlineStr">
        <is>
          <t>F.8</t>
        </is>
      </c>
      <c r="B15" s="18" t="inlineStr">
        <is>
          <t>Observasi Gudang dan Barang Lambat/Rusak</t>
        </is>
      </c>
      <c r="C15" s="17" t="inlineStr">
        <is>
          <t>Tambahan</t>
        </is>
      </c>
      <c r="D15" s="20" t="inlineStr">
        <is>
          <t>X</t>
        </is>
      </c>
      <c r="E15" s="20" t="inlineStr">
        <is>
          <t>X</t>
        </is>
      </c>
      <c r="F15" s="20" t="n"/>
      <c r="G15" s="20" t="n"/>
      <c r="H15" s="20" t="n"/>
      <c r="I15" s="26">
        <f>IF('F.8 Observasi Gudang dan'!$C$7="","Belum",'F.8 Observasi Gudang dan'!$C$7)</f>
        <v/>
      </c>
      <c r="J15" s="17">
        <f>IF('F.8 Observasi Gudang dan'!$C$8="","",'F.8 Observasi Gudang dan'!$C$8)</f>
        <v/>
      </c>
      <c r="K15" s="17">
        <f>IF('F.8 Observasi Gudang dan'!$C$9="","",'F.8 Observasi Gudang dan'!$C$9)</f>
        <v/>
      </c>
      <c r="L15" s="18" t="inlineStr">
        <is>
          <t>F.8 Observasi Gudang dan</t>
        </is>
      </c>
    </row>
    <row r="17">
      <c r="A17" s="25" t="inlineStr">
        <is>
          <t>Status dan hasil diisi di sheet KK anak masing-masing prosedur (sel kuning bagian A). Program ini dan jawaban asersi di Lead terisi otomatis.</t>
        </is>
      </c>
    </row>
    <row r="18">
      <c r="A18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4" customWidth="1" min="4" max="4"/>
    <col width="11" customWidth="1" min="5" max="5"/>
    <col width="11" customWidth="1" min="6" max="6"/>
    <col width="11" customWidth="1" min="7" max="7"/>
    <col width="14" customWidth="1" min="8" max="8"/>
    <col width="15" customWidth="1" min="9" max="9"/>
    <col width="2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F.1 · Stock Opname</t>
        </is>
      </c>
      <c r="I2" s="3" t="inlineStr">
        <is>
          <t>Indeks KK</t>
        </is>
      </c>
      <c r="J2" s="4" t="inlineStr">
        <is>
          <t>F.1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Hadiri dan observasi perhitungan fisik persediaan; lakukan test count dua arah (fisik ke kartu dan kartu ke fisik); catat barang rusak, usang, dan milik pihak lain.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Kode Barang</t>
        </is>
      </c>
      <c r="C15" s="10" t="inlineStr">
        <is>
          <t>Nama Barang</t>
        </is>
      </c>
      <c r="D15" s="10" t="inlineStr">
        <is>
          <t>Lokasi</t>
        </is>
      </c>
      <c r="E15" s="10" t="inlineStr">
        <is>
          <t>Qty Buku</t>
        </is>
      </c>
      <c r="F15" s="10" t="inlineStr">
        <is>
          <t>Qty Fisik</t>
        </is>
      </c>
      <c r="G15" s="10" t="inlineStr">
        <is>
          <t>Selisih Qty</t>
        </is>
      </c>
      <c r="H15" s="10" t="inlineStr">
        <is>
          <t>Harga Satuan</t>
        </is>
      </c>
      <c r="I15" s="10" t="inlineStr">
        <is>
          <t>Selisih Nilai</t>
        </is>
      </c>
      <c r="J15" s="10" t="inlineStr">
        <is>
          <t>Keterangan</t>
        </is>
      </c>
    </row>
    <row r="16">
      <c r="A16" s="11" t="n">
        <v>1</v>
      </c>
      <c r="B16" s="6" t="n"/>
      <c r="C16" s="6" t="n"/>
      <c r="D16" s="6" t="n"/>
      <c r="E16" s="8" t="n"/>
      <c r="F16" s="8" t="n"/>
      <c r="G16" s="12">
        <f>IF(F16="","",F16-E16)</f>
        <v/>
      </c>
      <c r="H16" s="8" t="n"/>
      <c r="I16" s="12">
        <f>IF(OR(G16="",H16=""),"",G16*H16)</f>
        <v/>
      </c>
      <c r="J16" s="6" t="n"/>
    </row>
    <row r="17">
      <c r="A17" s="11" t="n">
        <v>2</v>
      </c>
      <c r="B17" s="6" t="n"/>
      <c r="C17" s="6" t="n"/>
      <c r="D17" s="6" t="n"/>
      <c r="E17" s="8" t="n"/>
      <c r="F17" s="8" t="n"/>
      <c r="G17" s="12">
        <f>IF(F17="","",F17-E17)</f>
        <v/>
      </c>
      <c r="H17" s="8" t="n"/>
      <c r="I17" s="12">
        <f>IF(OR(G17="",H17=""),"",G17*H17)</f>
        <v/>
      </c>
      <c r="J17" s="6" t="n"/>
    </row>
    <row r="18">
      <c r="A18" s="11" t="n">
        <v>3</v>
      </c>
      <c r="B18" s="6" t="n"/>
      <c r="C18" s="6" t="n"/>
      <c r="D18" s="6" t="n"/>
      <c r="E18" s="8" t="n"/>
      <c r="F18" s="8" t="n"/>
      <c r="G18" s="12">
        <f>IF(F18="","",F18-E18)</f>
        <v/>
      </c>
      <c r="H18" s="8" t="n"/>
      <c r="I18" s="12">
        <f>IF(OR(G18="",H18=""),"",G18*H18)</f>
        <v/>
      </c>
      <c r="J18" s="6" t="n"/>
    </row>
    <row r="19">
      <c r="A19" s="11" t="n">
        <v>4</v>
      </c>
      <c r="B19" s="6" t="n"/>
      <c r="C19" s="6" t="n"/>
      <c r="D19" s="6" t="n"/>
      <c r="E19" s="8" t="n"/>
      <c r="F19" s="8" t="n"/>
      <c r="G19" s="12">
        <f>IF(F19="","",F19-E19)</f>
        <v/>
      </c>
      <c r="H19" s="8" t="n"/>
      <c r="I19" s="12">
        <f>IF(OR(G19="",H19=""),"",G19*H19)</f>
        <v/>
      </c>
      <c r="J19" s="6" t="n"/>
    </row>
    <row r="20">
      <c r="A20" s="11" t="n">
        <v>5</v>
      </c>
      <c r="B20" s="6" t="n"/>
      <c r="C20" s="6" t="n"/>
      <c r="D20" s="6" t="n"/>
      <c r="E20" s="8" t="n"/>
      <c r="F20" s="8" t="n"/>
      <c r="G20" s="12">
        <f>IF(F20="","",F20-E20)</f>
        <v/>
      </c>
      <c r="H20" s="8" t="n"/>
      <c r="I20" s="12">
        <f>IF(OR(G20="",H20=""),"",G20*H20)</f>
        <v/>
      </c>
      <c r="J20" s="6" t="n"/>
    </row>
    <row r="21">
      <c r="A21" s="11" t="n">
        <v>6</v>
      </c>
      <c r="B21" s="6" t="n"/>
      <c r="C21" s="6" t="n"/>
      <c r="D21" s="6" t="n"/>
      <c r="E21" s="8" t="n"/>
      <c r="F21" s="8" t="n"/>
      <c r="G21" s="12">
        <f>IF(F21="","",F21-E21)</f>
        <v/>
      </c>
      <c r="H21" s="8" t="n"/>
      <c r="I21" s="12">
        <f>IF(OR(G21="",H21=""),"",G21*H21)</f>
        <v/>
      </c>
      <c r="J21" s="6" t="n"/>
    </row>
    <row r="22">
      <c r="A22" s="11" t="n">
        <v>7</v>
      </c>
      <c r="B22" s="6" t="n"/>
      <c r="C22" s="6" t="n"/>
      <c r="D22" s="6" t="n"/>
      <c r="E22" s="8" t="n"/>
      <c r="F22" s="8" t="n"/>
      <c r="G22" s="12">
        <f>IF(F22="","",F22-E22)</f>
        <v/>
      </c>
      <c r="H22" s="8" t="n"/>
      <c r="I22" s="12">
        <f>IF(OR(G22="",H22=""),"",G22*H22)</f>
        <v/>
      </c>
      <c r="J22" s="6" t="n"/>
    </row>
    <row r="23">
      <c r="A23" s="11" t="n">
        <v>8</v>
      </c>
      <c r="B23" s="6" t="n"/>
      <c r="C23" s="6" t="n"/>
      <c r="D23" s="6" t="n"/>
      <c r="E23" s="8" t="n"/>
      <c r="F23" s="8" t="n"/>
      <c r="G23" s="12">
        <f>IF(F23="","",F23-E23)</f>
        <v/>
      </c>
      <c r="H23" s="8" t="n"/>
      <c r="I23" s="12">
        <f>IF(OR(G23="",H23=""),"",G23*H23)</f>
        <v/>
      </c>
      <c r="J23" s="6" t="n"/>
    </row>
    <row r="24">
      <c r="A24" s="11" t="n">
        <v>9</v>
      </c>
      <c r="B24" s="6" t="n"/>
      <c r="C24" s="6" t="n"/>
      <c r="D24" s="6" t="n"/>
      <c r="E24" s="8" t="n"/>
      <c r="F24" s="8" t="n"/>
      <c r="G24" s="12">
        <f>IF(F24="","",F24-E24)</f>
        <v/>
      </c>
      <c r="H24" s="8" t="n"/>
      <c r="I24" s="12">
        <f>IF(OR(G24="",H24=""),"",G24*H24)</f>
        <v/>
      </c>
      <c r="J24" s="6" t="n"/>
    </row>
    <row r="25">
      <c r="A25" s="11" t="n">
        <v>10</v>
      </c>
      <c r="B25" s="6" t="n"/>
      <c r="C25" s="6" t="n"/>
      <c r="D25" s="6" t="n"/>
      <c r="E25" s="8" t="n"/>
      <c r="F25" s="8" t="n"/>
      <c r="G25" s="12">
        <f>IF(F25="","",F25-E25)</f>
        <v/>
      </c>
      <c r="H25" s="8" t="n"/>
      <c r="I25" s="12">
        <f>IF(OR(G25="",H25=""),"",G25*H25)</f>
        <v/>
      </c>
      <c r="J25" s="6" t="n"/>
    </row>
    <row r="26">
      <c r="A26" s="11" t="n">
        <v>11</v>
      </c>
      <c r="B26" s="6" t="n"/>
      <c r="C26" s="6" t="n"/>
      <c r="D26" s="6" t="n"/>
      <c r="E26" s="8" t="n"/>
      <c r="F26" s="8" t="n"/>
      <c r="G26" s="12">
        <f>IF(F26="","",F26-E26)</f>
        <v/>
      </c>
      <c r="H26" s="8" t="n"/>
      <c r="I26" s="12">
        <f>IF(OR(G26="",H26=""),"",G26*H26)</f>
        <v/>
      </c>
      <c r="J26" s="6" t="n"/>
    </row>
    <row r="27">
      <c r="A27" s="11" t="n">
        <v>12</v>
      </c>
      <c r="B27" s="6" t="n"/>
      <c r="C27" s="6" t="n"/>
      <c r="D27" s="6" t="n"/>
      <c r="E27" s="8" t="n"/>
      <c r="F27" s="8" t="n"/>
      <c r="G27" s="12">
        <f>IF(F27="","",F27-E27)</f>
        <v/>
      </c>
      <c r="H27" s="8" t="n"/>
      <c r="I27" s="12">
        <f>IF(OR(G27="",H27=""),"",G27*H27)</f>
        <v/>
      </c>
      <c r="J27" s="6" t="n"/>
    </row>
    <row r="28">
      <c r="A28" s="11" t="n">
        <v>13</v>
      </c>
      <c r="B28" s="6" t="n"/>
      <c r="C28" s="6" t="n"/>
      <c r="D28" s="6" t="n"/>
      <c r="E28" s="8" t="n"/>
      <c r="F28" s="8" t="n"/>
      <c r="G28" s="12">
        <f>IF(F28="","",F28-E28)</f>
        <v/>
      </c>
      <c r="H28" s="8" t="n"/>
      <c r="I28" s="12">
        <f>IF(OR(G28="",H28=""),"",G28*H28)</f>
        <v/>
      </c>
      <c r="J28" s="6" t="n"/>
    </row>
    <row r="29">
      <c r="A29" s="11" t="n">
        <v>14</v>
      </c>
      <c r="B29" s="6" t="n"/>
      <c r="C29" s="6" t="n"/>
      <c r="D29" s="6" t="n"/>
      <c r="E29" s="8" t="n"/>
      <c r="F29" s="8" t="n"/>
      <c r="G29" s="12">
        <f>IF(F29="","",F29-E29)</f>
        <v/>
      </c>
      <c r="H29" s="8" t="n"/>
      <c r="I29" s="12">
        <f>IF(OR(G29="",H29=""),"",G29*H29)</f>
        <v/>
      </c>
      <c r="J29" s="6" t="n"/>
    </row>
    <row r="30">
      <c r="A30" s="11" t="n">
        <v>15</v>
      </c>
      <c r="B30" s="6" t="n"/>
      <c r="C30" s="6" t="n"/>
      <c r="D30" s="6" t="n"/>
      <c r="E30" s="8" t="n"/>
      <c r="F30" s="8" t="n"/>
      <c r="G30" s="12">
        <f>IF(F30="","",F30-E30)</f>
        <v/>
      </c>
      <c r="H30" s="8" t="n"/>
      <c r="I30" s="12">
        <f>IF(OR(G30="",H30=""),"",G30*H30)</f>
        <v/>
      </c>
      <c r="J30" s="6" t="n"/>
    </row>
    <row r="31">
      <c r="A31" s="11" t="n">
        <v>16</v>
      </c>
      <c r="B31" s="6" t="n"/>
      <c r="C31" s="6" t="n"/>
      <c r="D31" s="6" t="n"/>
      <c r="E31" s="8" t="n"/>
      <c r="F31" s="8" t="n"/>
      <c r="G31" s="12">
        <f>IF(F31="","",F31-E31)</f>
        <v/>
      </c>
      <c r="H31" s="8" t="n"/>
      <c r="I31" s="12">
        <f>IF(OR(G31="",H31=""),"",G31*H31)</f>
        <v/>
      </c>
      <c r="J31" s="6" t="n"/>
    </row>
    <row r="32">
      <c r="A32" s="11" t="n">
        <v>17</v>
      </c>
      <c r="B32" s="6" t="n"/>
      <c r="C32" s="6" t="n"/>
      <c r="D32" s="6" t="n"/>
      <c r="E32" s="8" t="n"/>
      <c r="F32" s="8" t="n"/>
      <c r="G32" s="12">
        <f>IF(F32="","",F32-E32)</f>
        <v/>
      </c>
      <c r="H32" s="8" t="n"/>
      <c r="I32" s="12">
        <f>IF(OR(G32="",H32=""),"",G32*H32)</f>
        <v/>
      </c>
      <c r="J32" s="6" t="n"/>
    </row>
    <row r="33">
      <c r="A33" s="11" t="n">
        <v>18</v>
      </c>
      <c r="B33" s="6" t="n"/>
      <c r="C33" s="6" t="n"/>
      <c r="D33" s="6" t="n"/>
      <c r="E33" s="8" t="n"/>
      <c r="F33" s="8" t="n"/>
      <c r="G33" s="12">
        <f>IF(F33="","",F33-E33)</f>
        <v/>
      </c>
      <c r="H33" s="8" t="n"/>
      <c r="I33" s="12">
        <f>IF(OR(G33="",H33=""),"",G33*H33)</f>
        <v/>
      </c>
      <c r="J33" s="6" t="n"/>
    </row>
    <row r="34">
      <c r="A34" s="11" t="n">
        <v>19</v>
      </c>
      <c r="B34" s="6" t="n"/>
      <c r="C34" s="6" t="n"/>
      <c r="D34" s="6" t="n"/>
      <c r="E34" s="8" t="n"/>
      <c r="F34" s="8" t="n"/>
      <c r="G34" s="12">
        <f>IF(F34="","",F34-E34)</f>
        <v/>
      </c>
      <c r="H34" s="8" t="n"/>
      <c r="I34" s="12">
        <f>IF(OR(G34="",H34=""),"",G34*H34)</f>
        <v/>
      </c>
      <c r="J34" s="6" t="n"/>
    </row>
    <row r="35">
      <c r="A35" s="11" t="n">
        <v>20</v>
      </c>
      <c r="B35" s="6" t="n"/>
      <c r="C35" s="6" t="n"/>
      <c r="D35" s="6" t="n"/>
      <c r="E35" s="8" t="n"/>
      <c r="F35" s="8" t="n"/>
      <c r="G35" s="12">
        <f>IF(F35="","",F35-E35)</f>
        <v/>
      </c>
      <c r="H35" s="8" t="n"/>
      <c r="I35" s="12">
        <f>IF(OR(G35="",H35=""),"",G35*H35)</f>
        <v/>
      </c>
      <c r="J35" s="6" t="n"/>
    </row>
    <row r="36">
      <c r="A36" s="11" t="n">
        <v>21</v>
      </c>
      <c r="B36" s="6" t="n"/>
      <c r="C36" s="6" t="n"/>
      <c r="D36" s="6" t="n"/>
      <c r="E36" s="8" t="n"/>
      <c r="F36" s="8" t="n"/>
      <c r="G36" s="12">
        <f>IF(F36="","",F36-E36)</f>
        <v/>
      </c>
      <c r="H36" s="8" t="n"/>
      <c r="I36" s="12">
        <f>IF(OR(G36="",H36=""),"",G36*H36)</f>
        <v/>
      </c>
      <c r="J36" s="6" t="n"/>
    </row>
    <row r="37">
      <c r="A37" s="11" t="n">
        <v>22</v>
      </c>
      <c r="B37" s="6" t="n"/>
      <c r="C37" s="6" t="n"/>
      <c r="D37" s="6" t="n"/>
      <c r="E37" s="8" t="n"/>
      <c r="F37" s="8" t="n"/>
      <c r="G37" s="12">
        <f>IF(F37="","",F37-E37)</f>
        <v/>
      </c>
      <c r="H37" s="8" t="n"/>
      <c r="I37" s="12">
        <f>IF(OR(G37="",H37=""),"",G37*H37)</f>
        <v/>
      </c>
      <c r="J37" s="6" t="n"/>
    </row>
    <row r="38">
      <c r="A38" s="11" t="n">
        <v>23</v>
      </c>
      <c r="B38" s="6" t="n"/>
      <c r="C38" s="6" t="n"/>
      <c r="D38" s="6" t="n"/>
      <c r="E38" s="8" t="n"/>
      <c r="F38" s="8" t="n"/>
      <c r="G38" s="12">
        <f>IF(F38="","",F38-E38)</f>
        <v/>
      </c>
      <c r="H38" s="8" t="n"/>
      <c r="I38" s="12">
        <f>IF(OR(G38="",H38=""),"",G38*H38)</f>
        <v/>
      </c>
      <c r="J38" s="6" t="n"/>
    </row>
    <row r="39">
      <c r="A39" s="11" t="n">
        <v>24</v>
      </c>
      <c r="B39" s="6" t="n"/>
      <c r="C39" s="6" t="n"/>
      <c r="D39" s="6" t="n"/>
      <c r="E39" s="8" t="n"/>
      <c r="F39" s="8" t="n"/>
      <c r="G39" s="12">
        <f>IF(F39="","",F39-E39)</f>
        <v/>
      </c>
      <c r="H39" s="8" t="n"/>
      <c r="I39" s="12">
        <f>IF(OR(G39="",H39=""),"",G39*H39)</f>
        <v/>
      </c>
      <c r="J39" s="6" t="n"/>
    </row>
    <row r="40">
      <c r="A40" s="11" t="n">
        <v>25</v>
      </c>
      <c r="B40" s="6" t="n"/>
      <c r="C40" s="6" t="n"/>
      <c r="D40" s="6" t="n"/>
      <c r="E40" s="8" t="n"/>
      <c r="F40" s="8" t="n"/>
      <c r="G40" s="12">
        <f>IF(F40="","",F40-E40)</f>
        <v/>
      </c>
      <c r="H40" s="8" t="n"/>
      <c r="I40" s="12">
        <f>IF(OR(G40="",H40=""),"",G40*H40)</f>
        <v/>
      </c>
      <c r="J40" s="6" t="n"/>
    </row>
    <row r="41">
      <c r="B41" s="9" t="inlineStr">
        <is>
          <t>Jumlah</t>
        </is>
      </c>
      <c r="I41" s="14">
        <f>SUM(I16:I40)</f>
        <v/>
      </c>
    </row>
    <row r="43">
      <c r="A43" s="28" t="inlineStr">
        <is>
          <t>Kesimpulan Pengujian</t>
        </is>
      </c>
      <c r="C43" s="24" t="n"/>
    </row>
    <row r="44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9:J9"/>
    <mergeCell ref="E8:J8"/>
    <mergeCell ref="A12:J12"/>
    <mergeCell ref="C43:J44"/>
    <mergeCell ref="E7:J7"/>
  </mergeCells>
  <dataValidations count="2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F.2 · Konfirmasi Persediaan yang Dipegang oleh Pihak Lain</t>
        </is>
      </c>
      <c r="H2" s="3" t="inlineStr">
        <is>
          <t>Indeks KK</t>
        </is>
      </c>
      <c r="I2" s="4" t="inlineStr">
        <is>
          <t>F.2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Konfirmasi persediaan yang berada di gudang pihak ketiga, konsinyasi, atau dalam perjalanan.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F.3 · Rekonsiliasi Kompilasi Persediaan dengan Buku Besar</t>
        </is>
      </c>
      <c r="F2" s="3" t="inlineStr">
        <is>
          <t>Indeks KK</t>
        </is>
      </c>
      <c r="G2" s="4" t="inlineStr">
        <is>
          <t>F.3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hasil kompilasi stock opname yang telah dinilai dengan buku besar; selidiki selisih.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F.4 · Prosedur Roll-Forward</t>
        </is>
      </c>
      <c r="E2" s="3" t="inlineStr">
        <is>
          <t>Indeks KK</t>
        </is>
      </c>
      <c r="F2" s="4" t="inlineStr">
        <is>
          <t>F.4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Bila opname tidak pada tanggal neraca, roll-forward dari tanggal opname ke tanggal neraca: + pembelian/produksi - pemakaian/penjualan.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F.5 · Cutoff Persediaan</t>
        </is>
      </c>
      <c r="H2" s="3" t="inlineStr">
        <is>
          <t>Indeks KK</t>
        </is>
      </c>
      <c r="I2" s="4" t="inlineStr">
        <is>
          <t>F.5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dokumen penerimaan dan pengiriman barang terakhir sebelum dan pertama sesudah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F.6 · Penilaian Sesuai dengan Kebijakan Akuntansi</t>
        </is>
      </c>
      <c r="F2" s="3" t="inlineStr">
        <is>
          <t>Indeks KK</t>
        </is>
      </c>
      <c r="G2" s="4" t="inlineStr">
        <is>
          <t>F.6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harga pokok (FIFO/rata-rata), alokasi biaya konversi dan overhead tetap (PSAK 202); rekalkulasi sampel.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F.7 · Pengujian Nilai Realisasi Bersih</t>
        </is>
      </c>
      <c r="F2" s="3" t="inlineStr">
        <is>
          <t>Indeks KK</t>
        </is>
      </c>
      <c r="G2" s="4" t="inlineStr">
        <is>
          <t>F.7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Bandingkan biaya dengan harga jual setelah tanggal neraca dikurangi biaya penjualan; identifikasi barang lambat dan usang.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F.8 · Observasi Gudang dan Barang Lambat/Rusak</t>
        </is>
      </c>
      <c r="F2" s="3" t="inlineStr">
        <is>
          <t>Indeks KK</t>
        </is>
      </c>
      <c r="G2" s="4" t="inlineStr">
        <is>
          <t>F.8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Observasi gudang dan identifikasi barang lambat, rusak, dan kedaluwarsa.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