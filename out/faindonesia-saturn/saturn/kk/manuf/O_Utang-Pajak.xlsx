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664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 Lead" sheetId="1" state="visible" r:id="rId1"/>
    <sheet xmlns:r="http://schemas.openxmlformats.org/officeDocument/2006/relationships" name="O Program" sheetId="2" state="visible" r:id="rId2"/>
    <sheet xmlns:r="http://schemas.openxmlformats.org/officeDocument/2006/relationships" name="O.1 Rekonsiliasi Pendapatan" sheetId="3" state="visible" r:id="rId3"/>
    <sheet xmlns:r="http://schemas.openxmlformats.org/officeDocument/2006/relationships" name="O.2 Provisi untuk Pajak" sheetId="4" state="visible" r:id="rId4"/>
    <sheet xmlns:r="http://schemas.openxmlformats.org/officeDocument/2006/relationships" name="O.3 Penurunan Nilai Aset Pajak" sheetId="5" state="visible" r:id="rId5"/>
    <sheet xmlns:r="http://schemas.openxmlformats.org/officeDocument/2006/relationships" name="O.4 Pergerakan Saldo Akun" sheetId="6" state="visible" r:id="rId6"/>
    <sheet xmlns:r="http://schemas.openxmlformats.org/officeDocument/2006/relationships" name="O.5 Provisi untuk Posisi Pajak" sheetId="7" state="visible" r:id="rId7"/>
    <sheet xmlns:r="http://schemas.openxmlformats.org/officeDocument/2006/relationships" name="O.6 Dasar Pencatatan Transaksi" sheetId="8" state="visible" r:id="rId8"/>
    <sheet xmlns:r="http://schemas.openxmlformats.org/officeDocument/2006/relationships" name="Keteranga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&quot;-&quot;"/>
    <numFmt numFmtId="165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00ABD6"/>
      <sz val="12"/>
    </font>
    <font>
      <name val="Arial"/>
      <b val="1"/>
      <sz val="13"/>
    </font>
    <font>
      <name val="Arial"/>
      <color rgb="00666666"/>
      <sz val="10"/>
    </font>
    <font>
      <name val="Arial"/>
      <b val="1"/>
      <sz val="10"/>
    </font>
    <font>
      <name val="Arial"/>
      <sz val="10"/>
    </font>
    <font>
      <name val="Arial"/>
      <b val="1"/>
      <color rgb="0000ABD6"/>
      <sz val="11"/>
    </font>
    <font>
      <name val="Arial"/>
      <b val="1"/>
      <color rgb="00FFFFFF"/>
      <sz val="9"/>
    </font>
    <font>
      <name val="Arial"/>
      <i val="1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FF7E0"/>
      </patternFill>
    </fill>
    <fill>
      <patternFill patternType="solid">
        <fgColor rgb="00F2F2F2"/>
      </patternFill>
    </fill>
    <fill>
      <patternFill patternType="solid">
        <fgColor rgb="001F2A30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1" pivotButton="0" quotePrefix="0" xfId="0"/>
    <xf numFmtId="0" fontId="0" fillId="2" borderId="0" applyProtection="1" pivotButton="0" quotePrefix="0" xfId="0">
      <protection locked="0" hidden="0"/>
    </xf>
    <xf numFmtId="0" fontId="5" fillId="2" borderId="1" applyProtection="1" pivotButton="0" quotePrefix="0" xfId="0">
      <protection locked="0" hidden="0"/>
    </xf>
    <xf numFmtId="0" fontId="6" fillId="0" borderId="0" pivotButton="0" quotePrefix="0" xfId="0"/>
    <xf numFmtId="164" fontId="5" fillId="2" borderId="1" applyProtection="1" pivotButton="0" quotePrefix="0" xfId="0">
      <protection locked="0" hidden="0"/>
    </xf>
    <xf numFmtId="0" fontId="4" fillId="0" borderId="1" pivotButton="0" quotePrefix="0" xfId="0"/>
    <xf numFmtId="0" fontId="7" fillId="4" borderId="1" applyAlignment="1" pivotButton="0" quotePrefix="0" xfId="0">
      <alignment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164" fontId="4" fillId="0" borderId="1" pivotButton="0" quotePrefix="0" xfId="0"/>
    <xf numFmtId="165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5" fillId="2" borderId="1" applyAlignment="1" applyProtection="1" pivotButton="0" quotePrefix="0" xfId="0">
      <alignment horizontal="center" vertical="center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applyProtection="1" pivotButton="0" quotePrefix="0" xfId="0">
      <alignment vertical="top" wrapText="1"/>
      <protection locked="0" hidden="0"/>
    </xf>
    <xf numFmtId="0" fontId="8" fillId="0" borderId="0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7.png" Id="rId1"/><Relationship Type="http://schemas.openxmlformats.org/officeDocument/2006/relationships/image" Target="/xl/media/image8.png" Id="rId2"/></Relationships>
</file>

<file path=xl/drawings/_rels/drawing5.xml.rels><Relationships xmlns="http://schemas.openxmlformats.org/package/2006/relationships"><Relationship Type="http://schemas.openxmlformats.org/officeDocument/2006/relationships/image" Target="/xl/media/image9.png" Id="rId1"/><Relationship Type="http://schemas.openxmlformats.org/officeDocument/2006/relationships/image" Target="/xl/media/image10.png" Id="rId2"/></Relationships>
</file>

<file path=xl/drawings/_rels/drawing6.xml.rels><Relationships xmlns="http://schemas.openxmlformats.org/package/2006/relationships"><Relationship Type="http://schemas.openxmlformats.org/officeDocument/2006/relationships/image" Target="/xl/media/image11.png" Id="rId1"/><Relationship Type="http://schemas.openxmlformats.org/officeDocument/2006/relationships/image" Target="/xl/media/image12.png" Id="rId2"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/><Relationship Type="http://schemas.openxmlformats.org/officeDocument/2006/relationships/image" Target="/xl/media/image14.png" Id="rId2"/></Relationships>
</file>

<file path=xl/drawings/_rels/drawing8.xml.rels><Relationships xmlns="http://schemas.openxmlformats.org/package/2006/relationships"><Relationship Type="http://schemas.openxmlformats.org/officeDocument/2006/relationships/image" Target="/xl/media/image15.png" Id="rId1"/><Relationship Type="http://schemas.openxmlformats.org/officeDocument/2006/relationships/image" Target="/xl/media/image16.png" Id="rId2"/></Relationships>
</file>

<file path=xl/drawings/_rels/drawing9.xml.rels><Relationships xmlns="http://schemas.openxmlformats.org/package/2006/relationships"><Relationship Type="http://schemas.openxmlformats.org/officeDocument/2006/relationships/image" Target="/xl/media/image17.png" Id="rId1"/><Relationship Type="http://schemas.openxmlformats.org/officeDocument/2006/relationships/image" Target="/xl/media/image18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9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0</col>
      <colOff>0</colOff>
      <row>0</row>
      <rowOff>0</rowOff>
    </from>
    <ext cx="895350" cy="1219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5</col>
      <colOff>0</colOff>
      <row>0</row>
      <rowOff>0</rowOff>
    </from>
    <ext cx="819150" cy="228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12" customWidth="1" min="9" max="9"/>
    <col width="14" customWidth="1" min="10" max="10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Induk O · Utang Pajak</t>
        </is>
      </c>
      <c r="I2" s="3" t="inlineStr">
        <is>
          <t>Indeks KK</t>
        </is>
      </c>
      <c r="J2" s="4" t="inlineStr">
        <is>
          <t>O</t>
        </is>
      </c>
    </row>
    <row r="3" ht="26" customHeight="1">
      <c r="C3" s="3" t="inlineStr">
        <is>
          <t>Klien</t>
        </is>
      </c>
      <c r="D3" s="5" t="n"/>
      <c r="I3" s="3" t="inlineStr">
        <is>
          <t>Disusun/Tgl</t>
        </is>
      </c>
      <c r="J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I4" s="3" t="inlineStr">
        <is>
          <t>Direview/Tgl</t>
        </is>
      </c>
      <c r="J4" s="6" t="n"/>
    </row>
    <row r="6">
      <c r="A6" s="7" t="inlineStr">
        <is>
          <t>A. Lead Schedule</t>
        </is>
      </c>
    </row>
    <row r="7">
      <c r="A7" s="3" t="inlineStr">
        <is>
          <t>PM Final (Rp)</t>
        </is>
      </c>
      <c r="C7" s="8" t="n"/>
      <c r="E7" s="3" t="inlineStr">
        <is>
          <t>M/TM</t>
        </is>
      </c>
      <c r="F7" s="9">
        <f>IF($C$7="","",IF(ABS(F17)&gt;=$C$7,"M","TM"))</f>
        <v/>
      </c>
      <c r="G7" s="3" t="inlineStr">
        <is>
          <t>CRA</t>
        </is>
      </c>
      <c r="H7" s="6" t="n"/>
    </row>
    <row r="8" ht="30" customHeight="1">
      <c r="A8" s="10" t="inlineStr">
        <is>
          <t>Ref</t>
        </is>
      </c>
      <c r="B8" s="10" t="inlineStr">
        <is>
          <t>Sub-Akun</t>
        </is>
      </c>
      <c r="C8" s="10" t="inlineStr">
        <is>
          <t>2024 Audit</t>
        </is>
      </c>
      <c r="D8" s="10" t="inlineStr">
        <is>
          <t>2025 per Buku</t>
        </is>
      </c>
      <c r="E8" s="10" t="inlineStr">
        <is>
          <t>AJE</t>
        </is>
      </c>
      <c r="F8" s="10" t="inlineStr">
        <is>
          <t>2025 Audit</t>
        </is>
      </c>
      <c r="G8" s="10" t="inlineStr">
        <is>
          <t>Naik (Turun)</t>
        </is>
      </c>
      <c r="H8" s="10" t="inlineStr">
        <is>
          <t>%</t>
        </is>
      </c>
      <c r="I8" s="10" t="inlineStr">
        <is>
          <t>Ref AJE</t>
        </is>
      </c>
      <c r="J8" s="10" t="inlineStr">
        <is>
          <t>Ref KK Anak</t>
        </is>
      </c>
    </row>
    <row r="9">
      <c r="A9" s="11" t="inlineStr">
        <is>
          <t>O-1</t>
        </is>
      </c>
      <c r="B9" s="6" t="n"/>
      <c r="C9" s="8" t="n"/>
      <c r="D9" s="8" t="n"/>
      <c r="E9" s="8" t="n"/>
      <c r="F9" s="12">
        <f>D9+E9</f>
        <v/>
      </c>
      <c r="G9" s="12">
        <f>F9-C9</f>
        <v/>
      </c>
      <c r="H9" s="13">
        <f>IF(C9=0,"",G9/C9)</f>
        <v/>
      </c>
      <c r="I9" s="6" t="n"/>
      <c r="J9" s="6" t="n"/>
    </row>
    <row r="10">
      <c r="A10" s="11" t="inlineStr">
        <is>
          <t>O-2</t>
        </is>
      </c>
      <c r="B10" s="6" t="n"/>
      <c r="C10" s="8" t="n"/>
      <c r="D10" s="8" t="n"/>
      <c r="E10" s="8" t="n"/>
      <c r="F10" s="12">
        <f>D10+E10</f>
        <v/>
      </c>
      <c r="G10" s="12">
        <f>F10-C10</f>
        <v/>
      </c>
      <c r="H10" s="13">
        <f>IF(C10=0,"",G10/C10)</f>
        <v/>
      </c>
      <c r="I10" s="6" t="n"/>
      <c r="J10" s="6" t="n"/>
    </row>
    <row r="11">
      <c r="A11" s="11" t="inlineStr">
        <is>
          <t>O-3</t>
        </is>
      </c>
      <c r="B11" s="6" t="n"/>
      <c r="C11" s="8" t="n"/>
      <c r="D11" s="8" t="n"/>
      <c r="E11" s="8" t="n"/>
      <c r="F11" s="12">
        <f>D11+E11</f>
        <v/>
      </c>
      <c r="G11" s="12">
        <f>F11-C11</f>
        <v/>
      </c>
      <c r="H11" s="13">
        <f>IF(C11=0,"",G11/C11)</f>
        <v/>
      </c>
      <c r="I11" s="6" t="n"/>
      <c r="J11" s="6" t="n"/>
    </row>
    <row r="12">
      <c r="A12" s="11" t="inlineStr">
        <is>
          <t>O-4</t>
        </is>
      </c>
      <c r="B12" s="6" t="n"/>
      <c r="C12" s="8" t="n"/>
      <c r="D12" s="8" t="n"/>
      <c r="E12" s="8" t="n"/>
      <c r="F12" s="12">
        <f>D12+E12</f>
        <v/>
      </c>
      <c r="G12" s="12">
        <f>F12-C12</f>
        <v/>
      </c>
      <c r="H12" s="13">
        <f>IF(C12=0,"",G12/C12)</f>
        <v/>
      </c>
      <c r="I12" s="6" t="n"/>
      <c r="J12" s="6" t="n"/>
    </row>
    <row r="13">
      <c r="A13" s="11" t="inlineStr">
        <is>
          <t>O-5</t>
        </is>
      </c>
      <c r="B13" s="6" t="n"/>
      <c r="C13" s="8" t="n"/>
      <c r="D13" s="8" t="n"/>
      <c r="E13" s="8" t="n"/>
      <c r="F13" s="12">
        <f>D13+E13</f>
        <v/>
      </c>
      <c r="G13" s="12">
        <f>F13-C13</f>
        <v/>
      </c>
      <c r="H13" s="13">
        <f>IF(C13=0,"",G13/C13)</f>
        <v/>
      </c>
      <c r="I13" s="6" t="n"/>
      <c r="J13" s="6" t="n"/>
    </row>
    <row r="14">
      <c r="A14" s="11" t="inlineStr">
        <is>
          <t>O-6</t>
        </is>
      </c>
      <c r="B14" s="6" t="n"/>
      <c r="C14" s="8" t="n"/>
      <c r="D14" s="8" t="n"/>
      <c r="E14" s="8" t="n"/>
      <c r="F14" s="12">
        <f>D14+E14</f>
        <v/>
      </c>
      <c r="G14" s="12">
        <f>F14-C14</f>
        <v/>
      </c>
      <c r="H14" s="13">
        <f>IF(C14=0,"",G14/C14)</f>
        <v/>
      </c>
      <c r="I14" s="6" t="n"/>
      <c r="J14" s="6" t="n"/>
    </row>
    <row r="15">
      <c r="A15" s="11" t="inlineStr">
        <is>
          <t>O-7</t>
        </is>
      </c>
      <c r="B15" s="6" t="n"/>
      <c r="C15" s="8" t="n"/>
      <c r="D15" s="8" t="n"/>
      <c r="E15" s="8" t="n"/>
      <c r="F15" s="12">
        <f>D15+E15</f>
        <v/>
      </c>
      <c r="G15" s="12">
        <f>F15-C15</f>
        <v/>
      </c>
      <c r="H15" s="13">
        <f>IF(C15=0,"",G15/C15)</f>
        <v/>
      </c>
      <c r="I15" s="6" t="n"/>
      <c r="J15" s="6" t="n"/>
    </row>
    <row r="16">
      <c r="A16" s="11" t="inlineStr">
        <is>
          <t>O-8</t>
        </is>
      </c>
      <c r="B16" s="6" t="n"/>
      <c r="C16" s="8" t="n"/>
      <c r="D16" s="8" t="n"/>
      <c r="E16" s="8" t="n"/>
      <c r="F16" s="12">
        <f>D16+E16</f>
        <v/>
      </c>
      <c r="G16" s="12">
        <f>F16-C16</f>
        <v/>
      </c>
      <c r="H16" s="13">
        <f>IF(C16=0,"",G16/C16)</f>
        <v/>
      </c>
      <c r="I16" s="6" t="n"/>
      <c r="J16" s="6" t="n"/>
    </row>
    <row r="17">
      <c r="B17" s="9" t="inlineStr">
        <is>
          <t>Jumlah</t>
        </is>
      </c>
      <c r="C17" s="14">
        <f>SUM(C9:C16)</f>
        <v/>
      </c>
      <c r="D17" s="14">
        <f>SUM(D9:D16)</f>
        <v/>
      </c>
      <c r="E17" s="14">
        <f>SUM(E9:E16)</f>
        <v/>
      </c>
      <c r="F17" s="14">
        <f>SUM(F9:F16)</f>
        <v/>
      </c>
      <c r="G17" s="14">
        <f>SUM(G9:G16)</f>
        <v/>
      </c>
      <c r="H17" s="15">
        <f>IF(C17=0,"",G17/C17)</f>
        <v/>
      </c>
    </row>
    <row r="19">
      <c r="A19" s="7" t="inlineStr">
        <is>
          <t>B. Jawaban Asersi (Otomatis dari Program dan KK Anak)</t>
        </is>
      </c>
    </row>
    <row r="20" ht="30" customHeight="1">
      <c r="A20" s="10" t="inlineStr">
        <is>
          <t>Kode</t>
        </is>
      </c>
      <c r="B20" s="10" t="inlineStr">
        <is>
          <t>Asersi</t>
        </is>
      </c>
      <c r="C20" s="10" t="inlineStr">
        <is>
          <t>Dijawab oleh Prosedur</t>
        </is>
      </c>
      <c r="D20" s="10" t="inlineStr"/>
      <c r="E20" s="10" t="inlineStr">
        <is>
          <t>Relevan</t>
        </is>
      </c>
      <c r="F20" s="10" t="inlineStr">
        <is>
          <t>Selesai</t>
        </is>
      </c>
      <c r="G20" s="10" t="inlineStr">
        <is>
          <t>Pengecualian</t>
        </is>
      </c>
      <c r="H20" s="10" t="inlineStr">
        <is>
          <t>Jawaban</t>
        </is>
      </c>
      <c r="I20" s="10" t="inlineStr">
        <is>
          <t>Ref AJE</t>
        </is>
      </c>
      <c r="J20" s="10" t="inlineStr">
        <is>
          <t>Catatan</t>
        </is>
      </c>
    </row>
    <row r="21" ht="30" customHeight="1">
      <c r="A21" s="16" t="inlineStr">
        <is>
          <t>E</t>
        </is>
      </c>
      <c r="B21" s="17" t="inlineStr">
        <is>
          <t>Keberadaan</t>
        </is>
      </c>
      <c r="C21" s="18" t="inlineStr">
        <is>
          <t>O.1</t>
        </is>
      </c>
      <c r="D21" s="19" t="n"/>
      <c r="E21" s="20">
        <f>COUNTIF('O Program'!$D$8:$D$13,"X")</f>
        <v/>
      </c>
      <c r="F21" s="20">
        <f>COUNTIFS('O Program'!$D$8:$D$13,"X",'O Program'!$I$8:$I$13,"Selesai")</f>
        <v/>
      </c>
      <c r="G21" s="20">
        <f>COUNTIFS('O Program'!$D$8:$D$13,"X",'O Program'!$J$8:$J$13,"Pengecualian")</f>
        <v/>
      </c>
      <c r="H21" s="16">
        <f>IF(E21=0,"n/a",IF(G21&gt;0,"TT",IF(F21+COUNTIFS('O Program'!$D$8:$D$13,"X",'O Program'!$I$8:$I$13,"Tidak Relevan")&lt;E21,"BD",IF(F21=0,"n/a",IF(COUNTIFS('O Program'!$D$8:$D$13,"X",'O Program'!$J$8:$J$13,"Koreksi (AJE)")&gt;0,"T-K","T")))))</f>
        <v/>
      </c>
      <c r="I21" s="21" t="n"/>
      <c r="J21" s="21" t="n"/>
    </row>
    <row r="22" ht="30" customHeight="1">
      <c r="A22" s="16" t="inlineStr">
        <is>
          <t>V</t>
        </is>
      </c>
      <c r="B22" s="17" t="inlineStr">
        <is>
          <t>Penilaian</t>
        </is>
      </c>
      <c r="C22" s="18" t="inlineStr">
        <is>
          <t>O.2, O.3, O.4, O.5, O.6</t>
        </is>
      </c>
      <c r="D22" s="19" t="n"/>
      <c r="E22" s="20">
        <f>COUNTIF('O Program'!$E$8:$E$13,"X")</f>
        <v/>
      </c>
      <c r="F22" s="20">
        <f>COUNTIFS('O Program'!$E$8:$E$13,"X",'O Program'!$I$8:$I$13,"Selesai")</f>
        <v/>
      </c>
      <c r="G22" s="20">
        <f>COUNTIFS('O Program'!$E$8:$E$13,"X",'O Program'!$J$8:$J$13,"Pengecualian")</f>
        <v/>
      </c>
      <c r="H22" s="16">
        <f>IF(E22=0,"n/a",IF(G22&gt;0,"TT",IF(F22+COUNTIFS('O Program'!$E$8:$E$13,"X",'O Program'!$I$8:$I$13,"Tidak Relevan")&lt;E22,"BD",IF(F22=0,"n/a",IF(COUNTIFS('O Program'!$E$8:$E$13,"X",'O Program'!$J$8:$J$13,"Koreksi (AJE)")&gt;0,"T-K","T")))))</f>
        <v/>
      </c>
      <c r="I22" s="21" t="n"/>
      <c r="J22" s="21" t="n"/>
    </row>
    <row r="23" ht="30" customHeight="1">
      <c r="A23" s="16" t="inlineStr">
        <is>
          <t>C</t>
        </is>
      </c>
      <c r="B23" s="17" t="inlineStr">
        <is>
          <t>Kelengkapan</t>
        </is>
      </c>
      <c r="C23" s="18" t="inlineStr">
        <is>
          <t>O.1, O.4</t>
        </is>
      </c>
      <c r="D23" s="19" t="n"/>
      <c r="E23" s="20">
        <f>COUNTIF('O Program'!$F$8:$F$13,"X")</f>
        <v/>
      </c>
      <c r="F23" s="20">
        <f>COUNTIFS('O Program'!$F$8:$F$13,"X",'O Program'!$I$8:$I$13,"Selesai")</f>
        <v/>
      </c>
      <c r="G23" s="20">
        <f>COUNTIFS('O Program'!$F$8:$F$13,"X",'O Program'!$J$8:$J$13,"Pengecualian")</f>
        <v/>
      </c>
      <c r="H23" s="16">
        <f>IF(E23=0,"n/a",IF(G23&gt;0,"TT",IF(F23+COUNTIFS('O Program'!$F$8:$F$13,"X",'O Program'!$I$8:$I$13,"Tidak Relevan")&lt;E23,"BD",IF(F23=0,"n/a",IF(COUNTIFS('O Program'!$F$8:$F$13,"X",'O Program'!$J$8:$J$13,"Koreksi (AJE)")&gt;0,"T-K","T")))))</f>
        <v/>
      </c>
      <c r="I23" s="21" t="n"/>
      <c r="J23" s="21" t="n"/>
    </row>
    <row r="24" ht="30" customHeight="1">
      <c r="A24" s="16" t="inlineStr">
        <is>
          <t>R</t>
        </is>
      </c>
      <c r="B24" s="17" t="inlineStr">
        <is>
          <t>Hak dan Kewajiban</t>
        </is>
      </c>
      <c r="C24" s="18" t="inlineStr">
        <is>
          <t>O.3, O.5, O.6</t>
        </is>
      </c>
      <c r="D24" s="19" t="n"/>
      <c r="E24" s="20">
        <f>COUNTIF('O Program'!$G$8:$G$13,"X")</f>
        <v/>
      </c>
      <c r="F24" s="20">
        <f>COUNTIFS('O Program'!$G$8:$G$13,"X",'O Program'!$I$8:$I$13,"Selesai")</f>
        <v/>
      </c>
      <c r="G24" s="20">
        <f>COUNTIFS('O Program'!$G$8:$G$13,"X",'O Program'!$J$8:$J$13,"Pengecualian")</f>
        <v/>
      </c>
      <c r="H24" s="16">
        <f>IF(E24=0,"n/a",IF(G24&gt;0,"TT",IF(F24+COUNTIFS('O Program'!$G$8:$G$13,"X",'O Program'!$I$8:$I$13,"Tidak Relevan")&lt;E24,"BD",IF(F24=0,"n/a",IF(COUNTIFS('O Program'!$G$8:$G$13,"X",'O Program'!$J$8:$J$13,"Koreksi (AJE)")&gt;0,"T-K","T")))))</f>
        <v/>
      </c>
      <c r="I24" s="21" t="n"/>
      <c r="J24" s="21" t="n"/>
    </row>
    <row r="25" ht="30" customHeight="1">
      <c r="A25" s="16" t="inlineStr">
        <is>
          <t>P</t>
        </is>
      </c>
      <c r="B25" s="17" t="inlineStr">
        <is>
          <t>Penyajian dan Pengungkapan</t>
        </is>
      </c>
      <c r="C25" s="18" t="inlineStr">
        <is>
          <t>O.1, O.2, O.5, O.6</t>
        </is>
      </c>
      <c r="D25" s="19" t="n"/>
      <c r="E25" s="20">
        <f>COUNTIF('O Program'!$H$8:$H$13,"X")</f>
        <v/>
      </c>
      <c r="F25" s="20">
        <f>COUNTIFS('O Program'!$H$8:$H$13,"X",'O Program'!$I$8:$I$13,"Selesai")</f>
        <v/>
      </c>
      <c r="G25" s="20">
        <f>COUNTIFS('O Program'!$H$8:$H$13,"X",'O Program'!$J$8:$J$13,"Pengecualian")</f>
        <v/>
      </c>
      <c r="H25" s="16">
        <f>IF(E25=0,"n/a",IF(G25&gt;0,"TT",IF(F25+COUNTIFS('O Program'!$H$8:$H$13,"X",'O Program'!$I$8:$I$13,"Tidak Relevan")&lt;E25,"BD",IF(F25=0,"n/a",IF(COUNTIFS('O Program'!$H$8:$H$13,"X",'O Program'!$J$8:$J$13,"Koreksi (AJE)")&gt;0,"T-K","T")))))</f>
        <v/>
      </c>
      <c r="I25" s="21" t="n"/>
      <c r="J25" s="21" t="n"/>
    </row>
    <row r="27">
      <c r="A27" s="7" t="inlineStr">
        <is>
          <t>C. Kesimpulan Akun</t>
        </is>
      </c>
    </row>
    <row r="28">
      <c r="A28" s="3" t="inlineStr">
        <is>
          <t>Status</t>
        </is>
      </c>
      <c r="C28" s="9">
        <f>IF(COUNTIF(H21:H25,"TT")&gt;0,"Belum terpenuhi",IF(COUNTIF(H21:H25,"BD")+COUNTBLANK(H21:H25)&gt;0,"Pengujian belum selesai",IF(COUNTIF(H21:H25,"T-K")&gt;0,"Wajar setelah penyesuaian audit","Wajar, tidak ada salah saji")))</f>
        <v/>
      </c>
      <c r="D28" s="22" t="n"/>
      <c r="E28" s="22" t="n"/>
      <c r="F28" s="23" t="n"/>
    </row>
    <row r="29">
      <c r="A29" s="3" t="inlineStr">
        <is>
          <t>Kesimpulan Auditor</t>
        </is>
      </c>
      <c r="C29" s="24" t="inlineStr">
        <is>
          <t>Berdasarkan prosedur audit yang dilaksanakan, saldo utang Pajak per 31 Desember 2025 disajikan wajar dalam semua hal yang material (sesuaikan).</t>
        </is>
      </c>
    </row>
    <row r="30"/>
    <row r="31"/>
    <row r="33">
      <c r="A33" s="25" t="inlineStr">
        <is>
          <t>Jawaban: T terpenuhi, T-K terpenuhi setelah koreksi, TT ada pengecualian, BD belum semua prosedur relevan selesai. Hasil akun mengalir ke A-1.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7">
    <mergeCell ref="C24:D24"/>
    <mergeCell ref="C21:D21"/>
    <mergeCell ref="C25:D25"/>
    <mergeCell ref="C29:J31"/>
    <mergeCell ref="C22:D22"/>
    <mergeCell ref="C23:D23"/>
    <mergeCell ref="C28:F28"/>
  </mergeCells>
  <dataValidations count="1">
    <dataValidation sqref="H7" showDropDown="0" showInputMessage="0" showErrorMessage="0" allowBlank="1" type="list">
      <formula1>"Minimal,Rendah,Sedang,Tinggi"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2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13" customWidth="1" min="9" max="9"/>
    <col width="16" customWidth="1" min="10" max="10"/>
    <col width="10" customWidth="1" min="11" max="11"/>
    <col width="24" customWidth="1" min="12" max="12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Program Prosedur Substantif O · Utang Pajak</t>
        </is>
      </c>
      <c r="K2" s="3" t="inlineStr">
        <is>
          <t>Indeks KK</t>
        </is>
      </c>
      <c r="L2" s="4" t="inlineStr">
        <is>
          <t>O</t>
        </is>
      </c>
    </row>
    <row r="3" ht="26" customHeight="1">
      <c r="C3" s="3" t="inlineStr">
        <is>
          <t>Klien</t>
        </is>
      </c>
      <c r="D3" s="5" t="n"/>
      <c r="K3" s="3" t="inlineStr">
        <is>
          <t>Disusun/Tgl</t>
        </is>
      </c>
      <c r="L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K4" s="3" t="inlineStr">
        <is>
          <t>Direview/Tgl</t>
        </is>
      </c>
      <c r="L4" s="6" t="n"/>
    </row>
    <row r="6">
      <c r="A6" s="7" t="inlineStr">
        <is>
          <t>Prosedur Substantif Primer (Whitepaper) dan Prosedur Tambahan</t>
        </is>
      </c>
    </row>
    <row r="7" ht="30" customHeight="1">
      <c r="A7" s="10" t="inlineStr">
        <is>
          <t>Ref</t>
        </is>
      </c>
      <c r="B7" s="10" t="inlineStr">
        <is>
          <t>Prosedur</t>
        </is>
      </c>
      <c r="C7" s="10" t="inlineStr">
        <is>
          <t>Jenis</t>
        </is>
      </c>
      <c r="D7" s="10" t="inlineStr">
        <is>
          <t>E</t>
        </is>
      </c>
      <c r="E7" s="10" t="inlineStr">
        <is>
          <t>V</t>
        </is>
      </c>
      <c r="F7" s="10" t="inlineStr">
        <is>
          <t>C</t>
        </is>
      </c>
      <c r="G7" s="10" t="inlineStr">
        <is>
          <t>R</t>
        </is>
      </c>
      <c r="H7" s="10" t="inlineStr">
        <is>
          <t>P</t>
        </is>
      </c>
      <c r="I7" s="10" t="inlineStr">
        <is>
          <t>Status</t>
        </is>
      </c>
      <c r="J7" s="10" t="inlineStr">
        <is>
          <t>Hasil</t>
        </is>
      </c>
      <c r="K7" s="10" t="inlineStr">
        <is>
          <t>Ref AJE</t>
        </is>
      </c>
      <c r="L7" s="10" t="inlineStr">
        <is>
          <t>Sheet KK Anak</t>
        </is>
      </c>
    </row>
    <row r="8" ht="28" customHeight="1">
      <c r="A8" s="26" t="inlineStr">
        <is>
          <t>O.1</t>
        </is>
      </c>
      <c r="B8" s="18" t="inlineStr">
        <is>
          <t>Rekonsiliasi Pendapatan Akuntansi dengan Pendapatan Pajak</t>
        </is>
      </c>
      <c r="C8" s="17" t="inlineStr">
        <is>
          <t>PSP</t>
        </is>
      </c>
      <c r="D8" s="20" t="inlineStr">
        <is>
          <t>X</t>
        </is>
      </c>
      <c r="E8" s="20" t="n"/>
      <c r="F8" s="20" t="inlineStr">
        <is>
          <t>X</t>
        </is>
      </c>
      <c r="G8" s="20" t="n"/>
      <c r="H8" s="20" t="inlineStr">
        <is>
          <t>X</t>
        </is>
      </c>
      <c r="I8" s="26">
        <f>IF('O.1 Rekonsiliasi Pendapatan'!$C$7="","Belum",'O.1 Rekonsiliasi Pendapatan'!$C$7)</f>
        <v/>
      </c>
      <c r="J8" s="17">
        <f>IF('O.1 Rekonsiliasi Pendapatan'!$C$8="","",'O.1 Rekonsiliasi Pendapatan'!$C$8)</f>
        <v/>
      </c>
      <c r="K8" s="17">
        <f>IF('O.1 Rekonsiliasi Pendapatan'!$C$9="","",'O.1 Rekonsiliasi Pendapatan'!$C$9)</f>
        <v/>
      </c>
      <c r="L8" s="18" t="inlineStr">
        <is>
          <t>O.1 Rekonsiliasi Pendapatan</t>
        </is>
      </c>
    </row>
    <row r="9" ht="28" customHeight="1">
      <c r="A9" s="26" t="inlineStr">
        <is>
          <t>O.2</t>
        </is>
      </c>
      <c r="B9" s="18" t="inlineStr">
        <is>
          <t>Provisi untuk Pajak Penghasilan</t>
        </is>
      </c>
      <c r="C9" s="17" t="inlineStr">
        <is>
          <t>PSP</t>
        </is>
      </c>
      <c r="D9" s="20" t="n"/>
      <c r="E9" s="20" t="inlineStr">
        <is>
          <t>X</t>
        </is>
      </c>
      <c r="F9" s="20" t="n"/>
      <c r="G9" s="20" t="n"/>
      <c r="H9" s="20" t="inlineStr">
        <is>
          <t>X</t>
        </is>
      </c>
      <c r="I9" s="26">
        <f>IF('O.2 Provisi untuk Pajak'!$C$7="","Belum",'O.2 Provisi untuk Pajak'!$C$7)</f>
        <v/>
      </c>
      <c r="J9" s="17">
        <f>IF('O.2 Provisi untuk Pajak'!$C$8="","",'O.2 Provisi untuk Pajak'!$C$8)</f>
        <v/>
      </c>
      <c r="K9" s="17">
        <f>IF('O.2 Provisi untuk Pajak'!$C$9="","",'O.2 Provisi untuk Pajak'!$C$9)</f>
        <v/>
      </c>
      <c r="L9" s="18" t="inlineStr">
        <is>
          <t>O.2 Provisi untuk Pajak</t>
        </is>
      </c>
    </row>
    <row r="10" ht="28" customHeight="1">
      <c r="A10" s="26" t="inlineStr">
        <is>
          <t>O.3</t>
        </is>
      </c>
      <c r="B10" s="18" t="inlineStr">
        <is>
          <t>Penurunan Nilai Aset Pajak Tangguhan</t>
        </is>
      </c>
      <c r="C10" s="17" t="inlineStr">
        <is>
          <t>PSP</t>
        </is>
      </c>
      <c r="D10" s="20" t="n"/>
      <c r="E10" s="20" t="inlineStr">
        <is>
          <t>X</t>
        </is>
      </c>
      <c r="F10" s="20" t="n"/>
      <c r="G10" s="20" t="inlineStr">
        <is>
          <t>X</t>
        </is>
      </c>
      <c r="H10" s="20" t="n"/>
      <c r="I10" s="26">
        <f>IF('O.3 Penurunan Nilai Aset Pajak'!$C$7="","Belum",'O.3 Penurunan Nilai Aset Pajak'!$C$7)</f>
        <v/>
      </c>
      <c r="J10" s="17">
        <f>IF('O.3 Penurunan Nilai Aset Pajak'!$C$8="","",'O.3 Penurunan Nilai Aset Pajak'!$C$8)</f>
        <v/>
      </c>
      <c r="K10" s="17">
        <f>IF('O.3 Penurunan Nilai Aset Pajak'!$C$9="","",'O.3 Penurunan Nilai Aset Pajak'!$C$9)</f>
        <v/>
      </c>
      <c r="L10" s="18" t="inlineStr">
        <is>
          <t>O.3 Penurunan Nilai Aset Pajak</t>
        </is>
      </c>
    </row>
    <row r="11" ht="28" customHeight="1">
      <c r="A11" s="26" t="inlineStr">
        <is>
          <t>O.4</t>
        </is>
      </c>
      <c r="B11" s="18" t="inlineStr">
        <is>
          <t>Pergerakan Saldo Akun Pajak Penghasilan</t>
        </is>
      </c>
      <c r="C11" s="17" t="inlineStr">
        <is>
          <t>PSP</t>
        </is>
      </c>
      <c r="D11" s="20" t="n"/>
      <c r="E11" s="20" t="inlineStr">
        <is>
          <t>X</t>
        </is>
      </c>
      <c r="F11" s="20" t="inlineStr">
        <is>
          <t>X</t>
        </is>
      </c>
      <c r="G11" s="20" t="n"/>
      <c r="H11" s="20" t="n"/>
      <c r="I11" s="26">
        <f>IF('O.4 Pergerakan Saldo Akun'!$C$7="","Belum",'O.4 Pergerakan Saldo Akun'!$C$7)</f>
        <v/>
      </c>
      <c r="J11" s="17">
        <f>IF('O.4 Pergerakan Saldo Akun'!$C$8="","",'O.4 Pergerakan Saldo Akun'!$C$8)</f>
        <v/>
      </c>
      <c r="K11" s="17">
        <f>IF('O.4 Pergerakan Saldo Akun'!$C$9="","",'O.4 Pergerakan Saldo Akun'!$C$9)</f>
        <v/>
      </c>
      <c r="L11" s="18" t="inlineStr">
        <is>
          <t>O.4 Pergerakan Saldo Akun</t>
        </is>
      </c>
    </row>
    <row r="12" ht="28" customHeight="1">
      <c r="A12" s="26" t="inlineStr">
        <is>
          <t>O.5</t>
        </is>
      </c>
      <c r="B12" s="18" t="inlineStr">
        <is>
          <t>Provisi untuk Posisi Pajak Tertentu</t>
        </is>
      </c>
      <c r="C12" s="17" t="inlineStr">
        <is>
          <t>PSP</t>
        </is>
      </c>
      <c r="D12" s="20" t="n"/>
      <c r="E12" s="20" t="inlineStr">
        <is>
          <t>X</t>
        </is>
      </c>
      <c r="F12" s="20" t="n"/>
      <c r="G12" s="20" t="inlineStr">
        <is>
          <t>X</t>
        </is>
      </c>
      <c r="H12" s="20" t="inlineStr">
        <is>
          <t>X</t>
        </is>
      </c>
      <c r="I12" s="26">
        <f>IF('O.5 Provisi untuk Posisi Pajak'!$C$7="","Belum",'O.5 Provisi untuk Posisi Pajak'!$C$7)</f>
        <v/>
      </c>
      <c r="J12" s="17">
        <f>IF('O.5 Provisi untuk Posisi Pajak'!$C$8="","",'O.5 Provisi untuk Posisi Pajak'!$C$8)</f>
        <v/>
      </c>
      <c r="K12" s="17">
        <f>IF('O.5 Provisi untuk Posisi Pajak'!$C$9="","",'O.5 Provisi untuk Posisi Pajak'!$C$9)</f>
        <v/>
      </c>
      <c r="L12" s="18" t="inlineStr">
        <is>
          <t>O.5 Provisi untuk Posisi Pajak</t>
        </is>
      </c>
    </row>
    <row r="13" ht="28" customHeight="1">
      <c r="A13" s="26" t="inlineStr">
        <is>
          <t>O.6</t>
        </is>
      </c>
      <c r="B13" s="18" t="inlineStr">
        <is>
          <t>Dasar Pencatatan Transaksi dengan Pihak Terkait</t>
        </is>
      </c>
      <c r="C13" s="17" t="inlineStr">
        <is>
          <t>PSP</t>
        </is>
      </c>
      <c r="D13" s="20" t="n"/>
      <c r="E13" s="20" t="inlineStr">
        <is>
          <t>X</t>
        </is>
      </c>
      <c r="F13" s="20" t="n"/>
      <c r="G13" s="20" t="inlineStr">
        <is>
          <t>X</t>
        </is>
      </c>
      <c r="H13" s="20" t="inlineStr">
        <is>
          <t>X</t>
        </is>
      </c>
      <c r="I13" s="26">
        <f>IF('O.6 Dasar Pencatatan Transaksi'!$C$7="","Belum",'O.6 Dasar Pencatatan Transaksi'!$C$7)</f>
        <v/>
      </c>
      <c r="J13" s="17">
        <f>IF('O.6 Dasar Pencatatan Transaksi'!$C$8="","",'O.6 Dasar Pencatatan Transaksi'!$C$8)</f>
        <v/>
      </c>
      <c r="K13" s="17">
        <f>IF('O.6 Dasar Pencatatan Transaksi'!$C$9="","",'O.6 Dasar Pencatatan Transaksi'!$C$9)</f>
        <v/>
      </c>
      <c r="L13" s="18" t="inlineStr">
        <is>
          <t>O.6 Dasar Pencatatan Transaksi</t>
        </is>
      </c>
    </row>
    <row r="15">
      <c r="A15" s="25" t="inlineStr">
        <is>
          <t>Status dan hasil diisi di sheet KK anak masing-masing prosedur (sel kuning bagian A). Program ini dan jawaban asersi di Lead terisi otomatis.</t>
        </is>
      </c>
    </row>
    <row r="16">
      <c r="A16" s="25" t="inlineStr">
        <is>
          <t>X = asersi yang dijawab prosedur (whitepaper Asersi dan Prosedur Audit Substantif Primer). Prosedur tambahan merespons risiko gabungan (CRA) dan karakter industri.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O.1 · Rekonsiliasi Pendapatan Akuntansi dengan Pendapatan Pajak</t>
        </is>
      </c>
      <c r="F2" s="3" t="inlineStr">
        <is>
          <t>Indeks KK</t>
        </is>
      </c>
      <c r="G2" s="4" t="inlineStr">
        <is>
          <t>O.1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E Keberadaan, C Kelengkapan,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Uji rekonsiliasi fiskal: laba akuntansi ke penghasilan kena pajak, beda tetap dan beda temporer.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O.2 · Provisi untuk Pajak Penghasilan</t>
        </is>
      </c>
      <c r="F2" s="3" t="inlineStr">
        <is>
          <t>Indeks KK</t>
        </is>
      </c>
      <c r="G2" s="4" t="inlineStr">
        <is>
          <t>O.2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Rekalkulasi pajak kini dan utang pajak; cocokkan dengan SPT dan pembayaran.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O.3 · Penurunan Nilai Aset Pajak Tangguhan</t>
        </is>
      </c>
      <c r="F2" s="3" t="inlineStr">
        <is>
          <t>Indeks KK</t>
        </is>
      </c>
      <c r="G2" s="4" t="inlineStr">
        <is>
          <t>O.3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keterpulihan aset pajak tangguhan berdasarkan proyeksi laba fiskal.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22" customWidth="1" min="4" max="4"/>
    <col width="12" customWidth="1" min="5" max="5"/>
    <col width="2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O.4 · Pergerakan Saldo Akun Pajak Penghasilan</t>
        </is>
      </c>
      <c r="E2" s="3" t="inlineStr">
        <is>
          <t>Indeks KK</t>
        </is>
      </c>
      <c r="F2" s="4" t="inlineStr">
        <is>
          <t>O.4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C Kelengkapan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Susun mutasi saldo utang/piutang pajak: saldo awal + beban - pembayaran = saldo akhir.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</t>
        </is>
      </c>
      <c r="C15" s="10" t="inlineStr">
        <is>
          <t>Jumlah</t>
        </is>
      </c>
      <c r="D15" s="10" t="inlineStr">
        <is>
          <t>Sumber / Ref</t>
        </is>
      </c>
      <c r="E15" s="10" t="inlineStr">
        <is>
          <t>Tickmark</t>
        </is>
      </c>
      <c r="F15" s="10" t="inlineStr">
        <is>
          <t>Keterangan</t>
        </is>
      </c>
    </row>
    <row r="16">
      <c r="A16" s="11" t="n">
        <v>1</v>
      </c>
      <c r="B16" s="11" t="inlineStr">
        <is>
          <t>Saldo Awal (Audit Tahun Lalu)</t>
        </is>
      </c>
      <c r="C16" s="8" t="n"/>
      <c r="D16" s="6" t="n"/>
      <c r="E16" s="6" t="n"/>
      <c r="F16" s="6" t="n"/>
    </row>
    <row r="17">
      <c r="A17" s="11" t="n">
        <v>2</v>
      </c>
      <c r="B17" s="11" t="inlineStr">
        <is>
          <t>Penambahan</t>
        </is>
      </c>
      <c r="C17" s="8" t="n"/>
      <c r="D17" s="6" t="n"/>
      <c r="E17" s="6" t="n"/>
      <c r="F17" s="6" t="n"/>
    </row>
    <row r="18">
      <c r="A18" s="11" t="n">
        <v>3</v>
      </c>
      <c r="B18" s="11" t="inlineStr">
        <is>
          <t>Pengurangan</t>
        </is>
      </c>
      <c r="C18" s="8" t="n"/>
      <c r="D18" s="6" t="n"/>
      <c r="E18" s="6" t="n"/>
      <c r="F18" s="6" t="n"/>
    </row>
    <row r="19">
      <c r="A19" s="11" t="n">
        <v>4</v>
      </c>
      <c r="B19" s="11" t="inlineStr">
        <is>
          <t>Penyesuaian Lain</t>
        </is>
      </c>
      <c r="C19" s="8" t="n"/>
      <c r="D19" s="6" t="n"/>
      <c r="E19" s="6" t="n"/>
      <c r="F19" s="6" t="n"/>
    </row>
    <row r="20">
      <c r="B20" s="9" t="inlineStr">
        <is>
          <t>Saldo Akhir Dihitung</t>
        </is>
      </c>
      <c r="C20" s="14">
        <f>C16+C17-C18+C19</f>
        <v/>
      </c>
    </row>
    <row r="21">
      <c r="B21" s="9" t="inlineStr">
        <is>
          <t>Saldo Akhir Per Buku</t>
        </is>
      </c>
      <c r="C21" s="8" t="n"/>
    </row>
    <row r="22">
      <c r="B22" s="9" t="inlineStr">
        <is>
          <t>Selisih</t>
        </is>
      </c>
      <c r="C22" s="14">
        <f>IF(C21="","",C20-C21)</f>
        <v/>
      </c>
    </row>
    <row r="24">
      <c r="A24" s="28" t="inlineStr">
        <is>
          <t>Kesimpulan Pengujian</t>
        </is>
      </c>
      <c r="C24" s="24" t="n"/>
    </row>
    <row r="25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7:F7"/>
    <mergeCell ref="A12:F12"/>
    <mergeCell ref="E9:F9"/>
    <mergeCell ref="C24:F25"/>
    <mergeCell ref="E8:F8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E16:E19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O.5 · Provisi untuk Posisi Pajak Tertentu</t>
        </is>
      </c>
      <c r="F2" s="3" t="inlineStr">
        <is>
          <t>Indeks KK</t>
        </is>
      </c>
      <c r="G2" s="4" t="inlineStr">
        <is>
          <t>O.5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Reviu SKP, keberatan, banding, dan posisi pajak tidak pasti; evaluasi provisi dan pengungkapannya.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3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16" customWidth="1" min="3" max="3"/>
    <col width="16" customWidth="1" min="4" max="4"/>
    <col width="14" customWidth="1" min="5" max="5"/>
    <col width="10" customWidth="1" min="6" max="6"/>
    <col width="30" customWidth="1" min="7" max="7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KK Anak O.6 · Dasar Pencatatan Transaksi dengan Pihak Terkait</t>
        </is>
      </c>
      <c r="F2" s="3" t="inlineStr">
        <is>
          <t>Indeks KK</t>
        </is>
      </c>
      <c r="G2" s="4" t="inlineStr">
        <is>
          <t>O.6</t>
        </is>
      </c>
    </row>
    <row r="3" ht="26" customHeight="1">
      <c r="C3" s="3" t="inlineStr">
        <is>
          <t>Klien</t>
        </is>
      </c>
      <c r="D3" s="5" t="n"/>
      <c r="F3" s="3" t="inlineStr">
        <is>
          <t>Disusun/Tgl</t>
        </is>
      </c>
      <c r="G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F4" s="3" t="inlineStr">
        <is>
          <t>Direview/Tgl</t>
        </is>
      </c>
      <c r="G4" s="6" t="n"/>
    </row>
    <row r="6">
      <c r="A6" s="7" t="inlineStr">
        <is>
          <t>A. Status dan Hasil Prosedur</t>
        </is>
      </c>
    </row>
    <row r="7">
      <c r="A7" s="3" t="inlineStr">
        <is>
          <t>Status</t>
        </is>
      </c>
      <c r="C7" s="6" t="inlineStr">
        <is>
          <t>Belum</t>
        </is>
      </c>
      <c r="D7" s="3" t="inlineStr">
        <is>
          <t>Asersi Dijawab</t>
        </is>
      </c>
      <c r="E7" s="9" t="inlineStr">
        <is>
          <t>V Penilaian, R Hak dan Kewajiban, P Penyajian dan Pengungkapan</t>
        </is>
      </c>
    </row>
    <row r="8">
      <c r="A8" s="3" t="inlineStr">
        <is>
          <t>Hasil</t>
        </is>
      </c>
      <c r="C8" s="6" t="n"/>
      <c r="D8" s="3" t="inlineStr">
        <is>
          <t>Jenis</t>
        </is>
      </c>
      <c r="E8" s="11" t="inlineStr">
        <is>
          <t>PSP (Whitepaper)</t>
        </is>
      </c>
    </row>
    <row r="9">
      <c r="A9" s="3" t="inlineStr">
        <is>
          <t>Ref AJE</t>
        </is>
      </c>
      <c r="C9" s="6" t="n"/>
      <c r="D9" s="3" t="inlineStr">
        <is>
          <t>Dikerjakan Oleh/Tgl</t>
        </is>
      </c>
      <c r="E9" s="6" t="n"/>
    </row>
    <row r="11">
      <c r="A11" s="7" t="inlineStr">
        <is>
          <t>B. Langkah Kerja</t>
        </is>
      </c>
    </row>
    <row r="12" ht="44" customHeight="1">
      <c r="A12" s="27" t="inlineStr">
        <is>
          <t>Evaluasi dokumentasi transfer pricing dan perlakuan pajak transaksi pihak berelasi.</t>
        </is>
      </c>
    </row>
    <row r="14">
      <c r="A14" s="7" t="inlineStr">
        <is>
          <t>C. Pengujian</t>
        </is>
      </c>
    </row>
    <row r="15" ht="30" customHeight="1">
      <c r="A15" s="10" t="inlineStr">
        <is>
          <t>No</t>
        </is>
      </c>
      <c r="B15" s="10" t="inlineStr">
        <is>
          <t>Uraian / Dokumen</t>
        </is>
      </c>
      <c r="C15" s="10" t="inlineStr">
        <is>
          <t>Jumlah per Buku</t>
        </is>
      </c>
      <c r="D15" s="10" t="inlineStr">
        <is>
          <t>Jumlah per Bukti</t>
        </is>
      </c>
      <c r="E15" s="10" t="inlineStr">
        <is>
          <t>Selisih</t>
        </is>
      </c>
      <c r="F15" s="10" t="inlineStr">
        <is>
          <t>Tickmark</t>
        </is>
      </c>
      <c r="G15" s="10" t="inlineStr">
        <is>
          <t>Keterangan</t>
        </is>
      </c>
    </row>
    <row r="16">
      <c r="A16" s="11" t="n">
        <v>1</v>
      </c>
      <c r="B16" s="6" t="n"/>
      <c r="C16" s="8" t="n"/>
      <c r="D16" s="8" t="n"/>
      <c r="E16" s="12">
        <f>IF(D16="","",D16-C16)</f>
        <v/>
      </c>
      <c r="F16" s="6" t="n"/>
      <c r="G16" s="6" t="n"/>
    </row>
    <row r="17">
      <c r="A17" s="11" t="n">
        <v>2</v>
      </c>
      <c r="B17" s="6" t="n"/>
      <c r="C17" s="8" t="n"/>
      <c r="D17" s="8" t="n"/>
      <c r="E17" s="12">
        <f>IF(D17="","",D17-C17)</f>
        <v/>
      </c>
      <c r="F17" s="6" t="n"/>
      <c r="G17" s="6" t="n"/>
    </row>
    <row r="18">
      <c r="A18" s="11" t="n">
        <v>3</v>
      </c>
      <c r="B18" s="6" t="n"/>
      <c r="C18" s="8" t="n"/>
      <c r="D18" s="8" t="n"/>
      <c r="E18" s="12">
        <f>IF(D18="","",D18-C18)</f>
        <v/>
      </c>
      <c r="F18" s="6" t="n"/>
      <c r="G18" s="6" t="n"/>
    </row>
    <row r="19">
      <c r="A19" s="11" t="n">
        <v>4</v>
      </c>
      <c r="B19" s="6" t="n"/>
      <c r="C19" s="8" t="n"/>
      <c r="D19" s="8" t="n"/>
      <c r="E19" s="12">
        <f>IF(D19="","",D19-C19)</f>
        <v/>
      </c>
      <c r="F19" s="6" t="n"/>
      <c r="G19" s="6" t="n"/>
    </row>
    <row r="20">
      <c r="A20" s="11" t="n">
        <v>5</v>
      </c>
      <c r="B20" s="6" t="n"/>
      <c r="C20" s="8" t="n"/>
      <c r="D20" s="8" t="n"/>
      <c r="E20" s="12">
        <f>IF(D20="","",D20-C20)</f>
        <v/>
      </c>
      <c r="F20" s="6" t="n"/>
      <c r="G20" s="6" t="n"/>
    </row>
    <row r="21">
      <c r="A21" s="11" t="n">
        <v>6</v>
      </c>
      <c r="B21" s="6" t="n"/>
      <c r="C21" s="8" t="n"/>
      <c r="D21" s="8" t="n"/>
      <c r="E21" s="12">
        <f>IF(D21="","",D21-C21)</f>
        <v/>
      </c>
      <c r="F21" s="6" t="n"/>
      <c r="G21" s="6" t="n"/>
    </row>
    <row r="22">
      <c r="A22" s="11" t="n">
        <v>7</v>
      </c>
      <c r="B22" s="6" t="n"/>
      <c r="C22" s="8" t="n"/>
      <c r="D22" s="8" t="n"/>
      <c r="E22" s="12">
        <f>IF(D22="","",D22-C22)</f>
        <v/>
      </c>
      <c r="F22" s="6" t="n"/>
      <c r="G22" s="6" t="n"/>
    </row>
    <row r="23">
      <c r="A23" s="11" t="n">
        <v>8</v>
      </c>
      <c r="B23" s="6" t="n"/>
      <c r="C23" s="8" t="n"/>
      <c r="D23" s="8" t="n"/>
      <c r="E23" s="12">
        <f>IF(D23="","",D23-C23)</f>
        <v/>
      </c>
      <c r="F23" s="6" t="n"/>
      <c r="G23" s="6" t="n"/>
    </row>
    <row r="24">
      <c r="A24" s="11" t="n">
        <v>9</v>
      </c>
      <c r="B24" s="6" t="n"/>
      <c r="C24" s="8" t="n"/>
      <c r="D24" s="8" t="n"/>
      <c r="E24" s="12">
        <f>IF(D24="","",D24-C24)</f>
        <v/>
      </c>
      <c r="F24" s="6" t="n"/>
      <c r="G24" s="6" t="n"/>
    </row>
    <row r="25">
      <c r="A25" s="11" t="n">
        <v>10</v>
      </c>
      <c r="B25" s="6" t="n"/>
      <c r="C25" s="8" t="n"/>
      <c r="D25" s="8" t="n"/>
      <c r="E25" s="12">
        <f>IF(D25="","",D25-C25)</f>
        <v/>
      </c>
      <c r="F25" s="6" t="n"/>
      <c r="G25" s="6" t="n"/>
    </row>
    <row r="26">
      <c r="A26" s="11" t="n">
        <v>11</v>
      </c>
      <c r="B26" s="6" t="n"/>
      <c r="C26" s="8" t="n"/>
      <c r="D26" s="8" t="n"/>
      <c r="E26" s="12">
        <f>IF(D26="","",D26-C26)</f>
        <v/>
      </c>
      <c r="F26" s="6" t="n"/>
      <c r="G26" s="6" t="n"/>
    </row>
    <row r="27">
      <c r="A27" s="11" t="n">
        <v>12</v>
      </c>
      <c r="B27" s="6" t="n"/>
      <c r="C27" s="8" t="n"/>
      <c r="D27" s="8" t="n"/>
      <c r="E27" s="12">
        <f>IF(D27="","",D27-C27)</f>
        <v/>
      </c>
      <c r="F27" s="6" t="n"/>
      <c r="G27" s="6" t="n"/>
    </row>
    <row r="28">
      <c r="A28" s="11" t="n">
        <v>13</v>
      </c>
      <c r="B28" s="6" t="n"/>
      <c r="C28" s="8" t="n"/>
      <c r="D28" s="8" t="n"/>
      <c r="E28" s="12">
        <f>IF(D28="","",D28-C28)</f>
        <v/>
      </c>
      <c r="F28" s="6" t="n"/>
      <c r="G28" s="6" t="n"/>
    </row>
    <row r="29">
      <c r="A29" s="11" t="n">
        <v>14</v>
      </c>
      <c r="B29" s="6" t="n"/>
      <c r="C29" s="8" t="n"/>
      <c r="D29" s="8" t="n"/>
      <c r="E29" s="12">
        <f>IF(D29="","",D29-C29)</f>
        <v/>
      </c>
      <c r="F29" s="6" t="n"/>
      <c r="G29" s="6" t="n"/>
    </row>
    <row r="30">
      <c r="A30" s="11" t="n">
        <v>15</v>
      </c>
      <c r="B30" s="6" t="n"/>
      <c r="C30" s="8" t="n"/>
      <c r="D30" s="8" t="n"/>
      <c r="E30" s="12">
        <f>IF(D30="","",D30-C30)</f>
        <v/>
      </c>
      <c r="F30" s="6" t="n"/>
      <c r="G30" s="6" t="n"/>
    </row>
    <row r="31">
      <c r="A31" s="11" t="n">
        <v>16</v>
      </c>
      <c r="B31" s="6" t="n"/>
      <c r="C31" s="8" t="n"/>
      <c r="D31" s="8" t="n"/>
      <c r="E31" s="12">
        <f>IF(D31="","",D31-C31)</f>
        <v/>
      </c>
      <c r="F31" s="6" t="n"/>
      <c r="G31" s="6" t="n"/>
    </row>
    <row r="32">
      <c r="A32" s="11" t="n">
        <v>17</v>
      </c>
      <c r="B32" s="6" t="n"/>
      <c r="C32" s="8" t="n"/>
      <c r="D32" s="8" t="n"/>
      <c r="E32" s="12">
        <f>IF(D32="","",D32-C32)</f>
        <v/>
      </c>
      <c r="F32" s="6" t="n"/>
      <c r="G32" s="6" t="n"/>
    </row>
    <row r="33">
      <c r="A33" s="11" t="n">
        <v>18</v>
      </c>
      <c r="B33" s="6" t="n"/>
      <c r="C33" s="8" t="n"/>
      <c r="D33" s="8" t="n"/>
      <c r="E33" s="12">
        <f>IF(D33="","",D33-C33)</f>
        <v/>
      </c>
      <c r="F33" s="6" t="n"/>
      <c r="G33" s="6" t="n"/>
    </row>
    <row r="34">
      <c r="A34" s="11" t="n">
        <v>19</v>
      </c>
      <c r="B34" s="6" t="n"/>
      <c r="C34" s="8" t="n"/>
      <c r="D34" s="8" t="n"/>
      <c r="E34" s="12">
        <f>IF(D34="","",D34-C34)</f>
        <v/>
      </c>
      <c r="F34" s="6" t="n"/>
      <c r="G34" s="6" t="n"/>
    </row>
    <row r="35">
      <c r="A35" s="11" t="n">
        <v>20</v>
      </c>
      <c r="B35" s="6" t="n"/>
      <c r="C35" s="8" t="n"/>
      <c r="D35" s="8" t="n"/>
      <c r="E35" s="12">
        <f>IF(D35="","",D35-C35)</f>
        <v/>
      </c>
      <c r="F35" s="6" t="n"/>
      <c r="G35" s="6" t="n"/>
    </row>
    <row r="36">
      <c r="B36" s="9" t="inlineStr">
        <is>
          <t>Jumlah</t>
        </is>
      </c>
      <c r="C36" s="14">
        <f>SUM(C16:C35)</f>
        <v/>
      </c>
      <c r="D36" s="14">
        <f>SUM(D16:D35)</f>
        <v/>
      </c>
      <c r="E36" s="14">
        <f>SUM(E16:E35)</f>
        <v/>
      </c>
    </row>
    <row r="38">
      <c r="A38" s="28" t="inlineStr">
        <is>
          <t>Kesimpulan Pengujian</t>
        </is>
      </c>
      <c r="C38" s="24" t="n"/>
    </row>
    <row r="39"/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mergeCells count="5">
    <mergeCell ref="E8:G8"/>
    <mergeCell ref="A12:G12"/>
    <mergeCell ref="E9:G9"/>
    <mergeCell ref="E7:G7"/>
    <mergeCell ref="C38:G39"/>
  </mergeCells>
  <dataValidations count="3">
    <dataValidation sqref="C7" showDropDown="0" showInputMessage="0" showErrorMessage="0" allowBlank="1" type="list">
      <formula1>"Belum,Selesai,Tidak Relevan"</formula1>
    </dataValidation>
    <dataValidation sqref="C8" showDropDown="0" showInputMessage="0" showErrorMessage="0" allowBlank="1" type="list">
      <formula1>"Sesuai,Pengecualian,Koreksi (AJE)"</formula1>
    </dataValidation>
    <dataValidation sqref="F16:F35" showDropDown="0" showInputMessage="0" showErrorMessage="0" allowBlank="1" type="list">
      <formula1>"✓,^,&lt;,TB,GL,C,C/X,PY,R,O"</formula1>
    </dataValidation>
  </dataValidations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6" customWidth="1" min="3" max="3"/>
    <col width="60" customWidth="1" min="4" max="4"/>
    <col width="12" customWidth="1" min="5" max="5"/>
    <col width="14" customWidth="1" min="6" max="6"/>
  </cols>
  <sheetData>
    <row r="1" ht="26" customHeight="1">
      <c r="C1" s="1" t="inlineStr">
        <is>
          <t>KAP Dwi Haryadi Nugraha &amp; Rekan</t>
        </is>
      </c>
    </row>
    <row r="2" ht="26" customHeight="1">
      <c r="C2" s="2" t="inlineStr">
        <is>
          <t>Keterangan Tickmark dan Kode</t>
        </is>
      </c>
      <c r="E2" s="3" t="inlineStr">
        <is>
          <t>Indeks KK</t>
        </is>
      </c>
      <c r="F2" s="4" t="inlineStr">
        <is>
          <t>Legend</t>
        </is>
      </c>
    </row>
    <row r="3" ht="26" customHeight="1">
      <c r="C3" s="3" t="inlineStr">
        <is>
          <t>Klien</t>
        </is>
      </c>
      <c r="D3" s="5" t="n"/>
      <c r="E3" s="3" t="inlineStr">
        <is>
          <t>Disusun/Tgl</t>
        </is>
      </c>
      <c r="F3" s="6" t="n"/>
    </row>
    <row r="4" ht="26" customHeight="1">
      <c r="C4" s="3" t="inlineStr">
        <is>
          <t>Periode</t>
        </is>
      </c>
      <c r="D4" s="5" t="inlineStr">
        <is>
          <t>31 Desember 2025</t>
        </is>
      </c>
      <c r="E4" s="3" t="inlineStr">
        <is>
          <t>Direview/Tgl</t>
        </is>
      </c>
      <c r="F4" s="6" t="n"/>
    </row>
    <row r="6">
      <c r="A6" s="7" t="inlineStr">
        <is>
          <t>Tickmark</t>
        </is>
      </c>
    </row>
    <row r="7" ht="30" customHeight="1">
      <c r="A7" s="10" t="inlineStr"/>
      <c r="B7" s="10" t="inlineStr"/>
      <c r="C7" s="10" t="inlineStr">
        <is>
          <t>Tanda</t>
        </is>
      </c>
      <c r="D7" s="10" t="inlineStr">
        <is>
          <t>Arti</t>
        </is>
      </c>
      <c r="E7" s="10" t="inlineStr"/>
      <c r="F7" s="10" t="inlineStr"/>
    </row>
    <row r="8">
      <c r="C8" s="9" t="inlineStr">
        <is>
          <t>✓</t>
        </is>
      </c>
      <c r="D8" s="11" t="inlineStr">
        <is>
          <t>Dicocokkan ke dokumen sumber</t>
        </is>
      </c>
    </row>
    <row r="9">
      <c r="C9" s="9" t="inlineStr">
        <is>
          <t>^</t>
        </is>
      </c>
      <c r="D9" s="11" t="inlineStr">
        <is>
          <t>Footing (penjumlahan vertikal) benar</t>
        </is>
      </c>
    </row>
    <row r="10">
      <c r="C10" s="9" t="inlineStr">
        <is>
          <t>&lt;</t>
        </is>
      </c>
      <c r="D10" s="11" t="inlineStr">
        <is>
          <t>Cross-footing (penjumlahan horizontal) benar</t>
        </is>
      </c>
    </row>
    <row r="11">
      <c r="C11" s="9" t="inlineStr">
        <is>
          <t>TB</t>
        </is>
      </c>
      <c r="D11" s="11" t="inlineStr">
        <is>
          <t>Cocok dengan neraca saldo</t>
        </is>
      </c>
    </row>
    <row r="12">
      <c r="C12" s="9" t="inlineStr">
        <is>
          <t>GL</t>
        </is>
      </c>
      <c r="D12" s="11" t="inlineStr">
        <is>
          <t>Cocok dengan buku besar</t>
        </is>
      </c>
    </row>
    <row r="13">
      <c r="C13" s="9" t="inlineStr">
        <is>
          <t>C</t>
        </is>
      </c>
      <c r="D13" s="11" t="inlineStr">
        <is>
          <t>Konfirmasi diterima dan sesuai</t>
        </is>
      </c>
    </row>
    <row r="14">
      <c r="C14" s="9" t="inlineStr">
        <is>
          <t>C/X</t>
        </is>
      </c>
      <c r="D14" s="11" t="inlineStr">
        <is>
          <t>Konfirmasi diterima, ada selisih (lihat keterangan)</t>
        </is>
      </c>
    </row>
    <row r="15">
      <c r="C15" s="9" t="inlineStr">
        <is>
          <t>PY</t>
        </is>
      </c>
      <c r="D15" s="11" t="inlineStr">
        <is>
          <t>Cocok dengan kertas kerja tahun lalu</t>
        </is>
      </c>
    </row>
    <row r="16">
      <c r="C16" s="9" t="inlineStr">
        <is>
          <t>R</t>
        </is>
      </c>
      <c r="D16" s="11" t="inlineStr">
        <is>
          <t>Dihitung ulang (rekalkulasi) dan sesuai</t>
        </is>
      </c>
    </row>
    <row r="17">
      <c r="C17" s="9" t="inlineStr">
        <is>
          <t>O</t>
        </is>
      </c>
      <c r="D17" s="11" t="inlineStr">
        <is>
          <t>Diobservasi / dihitung fisik</t>
        </is>
      </c>
    </row>
    <row r="19">
      <c r="A19" s="7" t="inlineStr">
        <is>
          <t>Kode Jawaban Asersi</t>
        </is>
      </c>
    </row>
    <row r="20" ht="30" customHeight="1">
      <c r="A20" s="10" t="inlineStr"/>
      <c r="B20" s="10" t="inlineStr"/>
      <c r="C20" s="10" t="inlineStr">
        <is>
          <t>Kode</t>
        </is>
      </c>
      <c r="D20" s="10" t="inlineStr">
        <is>
          <t>Arti</t>
        </is>
      </c>
      <c r="E20" s="10" t="inlineStr"/>
      <c r="F20" s="10" t="inlineStr"/>
    </row>
    <row r="21">
      <c r="C21" s="9" t="inlineStr">
        <is>
          <t>T</t>
        </is>
      </c>
      <c r="D21" s="11" t="inlineStr">
        <is>
          <t>Terpenuhi</t>
        </is>
      </c>
    </row>
    <row r="22">
      <c r="C22" s="9" t="inlineStr">
        <is>
          <t>T-K</t>
        </is>
      </c>
      <c r="D22" s="11" t="inlineStr">
        <is>
          <t>Terpenuhi setelah koreksi (AJE)</t>
        </is>
      </c>
    </row>
    <row r="23">
      <c r="C23" s="9" t="inlineStr">
        <is>
          <t>TT</t>
        </is>
      </c>
      <c r="D23" s="11" t="inlineStr">
        <is>
          <t>Tidak terpenuhi, ada pengecualian yang belum selesai</t>
        </is>
      </c>
    </row>
    <row r="24">
      <c r="C24" s="9" t="inlineStr">
        <is>
          <t>BD</t>
        </is>
      </c>
      <c r="D24" s="11" t="inlineStr">
        <is>
          <t>Belum diuji</t>
        </is>
      </c>
    </row>
    <row r="25">
      <c r="C25" s="9" t="inlineStr">
        <is>
          <t>n/a</t>
        </is>
      </c>
      <c r="D25" s="11" t="inlineStr">
        <is>
          <t>Tidak relevan</t>
        </is>
      </c>
    </row>
    <row r="27">
      <c r="A27" s="7" t="inlineStr">
        <is>
          <t>Rencana Uji</t>
        </is>
      </c>
    </row>
    <row r="28" ht="30" customHeight="1">
      <c r="A28" s="10" t="inlineStr"/>
      <c r="B28" s="10" t="inlineStr"/>
      <c r="C28" s="10" t="inlineStr">
        <is>
          <t>Kode</t>
        </is>
      </c>
      <c r="D28" s="10" t="inlineStr">
        <is>
          <t>Arti</t>
        </is>
      </c>
      <c r="E28" s="10" t="inlineStr"/>
      <c r="F28" s="10" t="inlineStr"/>
    </row>
    <row r="29">
      <c r="C29" s="9" t="inlineStr">
        <is>
          <t>√</t>
        </is>
      </c>
      <c r="D29" s="11" t="inlineStr">
        <is>
          <t>Uji rinci (test of details)</t>
        </is>
      </c>
    </row>
    <row r="30">
      <c r="C30" s="9" t="inlineStr">
        <is>
          <t>A</t>
        </is>
      </c>
      <c r="D30" s="11" t="inlineStr">
        <is>
          <t>Prosedur analitis substantif</t>
        </is>
      </c>
    </row>
    <row r="31">
      <c r="C31" s="9" t="inlineStr">
        <is>
          <t>-</t>
        </is>
      </c>
      <c r="D31" s="11" t="inlineStr">
        <is>
          <t>Tidak diuji (risiko rendah atau tidak relevan)</t>
        </is>
      </c>
    </row>
    <row r="33">
      <c r="A33" s="25" t="inlineStr">
        <is>
          <t>Sel berwarna kuning muda diisi auditor. Sel lain berisi rumus dan terkunci.</t>
        </is>
      </c>
    </row>
  </sheetData>
  <sheetProtection selectLockedCells="0" selectUnlockedCells="0" sheet="1" objects="1" insertRows="1" insertHyperlinks="1" autoFilter="1" scenarios="0" formatColumns="0" deleteColumns="1" insertColumns="1" pivotTables="1" deleteRows="1" formatCells="1" formatRows="0" sort="1" password="D664"/>
  <pageMargins left="0.75" right="0.75" top="1" bottom="1" header="0.5" footer="0.5"/>
  <pageSetup orientation="landscape" fitToHeight="0" fitToWidth="1"/>
  <headerFooter>
    <oddHeader>&amp;L&amp;8 KAP Dwi Haryadi Nugraha &amp; Rekan</oddHeader>
    <oddFooter>&amp;C&amp;8 Sistem kertas kerja FA Saturn · IT partner: FA Digital (FA Indonesia)&amp;R&amp;8 Hal &amp;P dari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2026-10-18T07:48:42Z</dcterms:created>
  <dcterms:modified xmlns:dcterms="http://purl.org/dc/terms/" xmlns:xsi="http://www.w3.org/2001/XMLSchema-instance" xsi:type="dcterms:W3CDTF">2026-10-18T07:48:42Z</dcterms:modified>
</cp:coreProperties>
</file>