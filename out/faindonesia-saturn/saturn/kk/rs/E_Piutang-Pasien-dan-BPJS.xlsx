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Konfirmasi Piutang (SA 505)" sheetId="11" state="visible" r:id="rId11"/>
    <sheet xmlns:r="http://schemas.openxmlformats.org/officeDocument/2006/relationships" name="E.10 Rekonsiliasi Klaim BPJS" sheetId="12" state="visible" r:id="rId12"/>
    <sheet xmlns:r="http://schemas.openxmlformats.org/officeDocument/2006/relationships" name="E.11 Evaluasi Klaim Pending" sheetId="13" state="visible" r:id="rId13"/>
    <sheet xmlns:r="http://schemas.openxmlformats.org/officeDocument/2006/relationships" name="Keterang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Piutang Pasien &amp; BPJS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E.8, E.9, E.10</t>
        </is>
      </c>
      <c r="D21" s="19" t="n"/>
      <c r="E21" s="20">
        <f>COUNTIF('E Program'!$D$8:$D$18,"X")</f>
        <v/>
      </c>
      <c r="F21" s="20">
        <f>COUNTIFS('E Program'!$D$8:$D$18,"X",'E Program'!$I$8:$I$18,"Selesai")</f>
        <v/>
      </c>
      <c r="G21" s="20">
        <f>COUNTIFS('E Program'!$D$8:$D$18,"X",'E Program'!$J$8:$J$18,"Pengecualian")</f>
        <v/>
      </c>
      <c r="H21" s="16">
        <f>IF(E21=0,"n/a",IF(G21&gt;0,"TT",IF(F21+COUNTIFS('E Program'!$D$8:$D$18,"X",'E Program'!$I$8:$I$18,"Tidak Relevan")&lt;E21,"BD",IF(F21=0,"n/a",IF(COUNTIFS('E Program'!$D$8:$D$18,"X",'E Program'!$J$8:$J$18,"Koreksi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E.7, E.10, E.11</t>
        </is>
      </c>
      <c r="D22" s="19" t="n"/>
      <c r="E22" s="20">
        <f>COUNTIF('E Program'!$E$8:$E$18,"X")</f>
        <v/>
      </c>
      <c r="F22" s="20">
        <f>COUNTIFS('E Program'!$E$8:$E$18,"X",'E Program'!$I$8:$I$18,"Selesai")</f>
        <v/>
      </c>
      <c r="G22" s="20">
        <f>COUNTIFS('E Program'!$E$8:$E$18,"X",'E Program'!$J$8:$J$18,"Pengecualian")</f>
        <v/>
      </c>
      <c r="H22" s="16">
        <f>IF(E22=0,"n/a",IF(G22&gt;0,"TT",IF(F22+COUNTIFS('E Program'!$E$8:$E$18,"X",'E Program'!$I$8:$I$18,"Tidak Relevan")&lt;E22,"BD",IF(F22=0,"n/a",IF(COUNTIFS('E Program'!$E$8:$E$18,"X",'E Program'!$J$8:$J$18,"Koreksi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Program'!$F$8:$F$18,"X")</f>
        <v/>
      </c>
      <c r="F23" s="20">
        <f>COUNTIFS('E Program'!$F$8:$F$18,"X",'E Program'!$I$8:$I$18,"Selesai")</f>
        <v/>
      </c>
      <c r="G23" s="20">
        <f>COUNTIFS('E Program'!$F$8:$F$18,"X",'E Program'!$J$8:$J$18,"Pengecualian")</f>
        <v/>
      </c>
      <c r="H23" s="16">
        <f>IF(E23=0,"n/a",IF(G23&gt;0,"TT",IF(F23+COUNTIFS('E Program'!$F$8:$F$18,"X",'E Program'!$I$8:$I$18,"Tidak Relevan")&lt;E23,"BD",IF(F23=0,"n/a",IF(COUNTIFS('E Program'!$F$8:$F$18,"X",'E Program'!$J$8:$J$18,"Koreksi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E.2, E.9</t>
        </is>
      </c>
      <c r="D24" s="19" t="n"/>
      <c r="E24" s="20">
        <f>COUNTIF('E Program'!$G$8:$G$18,"X")</f>
        <v/>
      </c>
      <c r="F24" s="20">
        <f>COUNTIFS('E Program'!$G$8:$G$18,"X",'E Program'!$I$8:$I$18,"Selesai")</f>
        <v/>
      </c>
      <c r="G24" s="20">
        <f>COUNTIFS('E Program'!$G$8:$G$18,"X",'E Program'!$J$8:$J$18,"Pengecualian")</f>
        <v/>
      </c>
      <c r="H24" s="16">
        <f>IF(E24=0,"n/a",IF(G24&gt;0,"TT",IF(F24+COUNTIFS('E Program'!$G$8:$G$18,"X",'E Program'!$I$8:$I$18,"Tidak Relevan")&lt;E24,"BD",IF(F24=0,"n/a",IF(COUNTIFS('E Program'!$G$8:$G$18,"X",'E Program'!$J$8:$J$18,"Koreksi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</t>
        </is>
      </c>
      <c r="D25" s="19" t="n"/>
      <c r="E25" s="20">
        <f>COUNTIF('E Program'!$H$8:$H$18,"X")</f>
        <v/>
      </c>
      <c r="F25" s="20">
        <f>COUNTIFS('E Program'!$H$8:$H$18,"X",'E Program'!$I$8:$I$18,"Selesai")</f>
        <v/>
      </c>
      <c r="G25" s="20">
        <f>COUNTIFS('E Program'!$H$8:$H$18,"X",'E Program'!$J$8:$J$18,"Pengecualian")</f>
        <v/>
      </c>
      <c r="H25" s="16">
        <f>IF(E25=0,"n/a",IF(G25&gt;0,"TT",IF(F25+COUNTIFS('E Program'!$H$8:$H$18,"X",'E Program'!$I$8:$I$18,"Tidak Relevan")&lt;E25,"BD",IF(F25=0,"n/a",IF(COUNTIFS('E Program'!$H$8:$H$18,"X",'E Program'!$J$8:$J$18,"Koreksi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piutang Pasien &amp; BPJS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Piutang Pasien &amp; BPJS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Konfirmasi Piutang (SA 505)</t>
        </is>
      </c>
      <c r="C16" s="17" t="inlineStr">
        <is>
          <t>Tambahan</t>
        </is>
      </c>
      <c r="D16" s="20" t="inlineStr">
        <is>
          <t>X</t>
        </is>
      </c>
      <c r="E16" s="20" t="n"/>
      <c r="F16" s="20" t="n"/>
      <c r="G16" s="20" t="inlineStr">
        <is>
          <t>X</t>
        </is>
      </c>
      <c r="H16" s="20" t="n"/>
      <c r="I16" s="26">
        <f>IF('E.9 Konfirmasi Piutang (SA 505)'!$C$7="","Belum",'E.9 Konfirmasi Piutang (SA 505)'!$C$7)</f>
        <v/>
      </c>
      <c r="J16" s="17">
        <f>IF('E.9 Konfirmasi Piutang (SA 505)'!$C$8="","",'E.9 Konfirmasi Piutang (SA 505)'!$C$8)</f>
        <v/>
      </c>
      <c r="K16" s="17">
        <f>IF('E.9 Konfirmasi Piutang (SA 505)'!$C$9="","",'E.9 Konfirmasi Piutang (SA 505)'!$C$9)</f>
        <v/>
      </c>
      <c r="L16" s="18" t="inlineStr">
        <is>
          <t>E.9 Konfirmasi Piutang (SA 505)</t>
        </is>
      </c>
    </row>
    <row r="17" ht="28" customHeight="1">
      <c r="A17" s="26" t="inlineStr">
        <is>
          <t>E.10</t>
        </is>
      </c>
      <c r="B17" s="18" t="inlineStr">
        <is>
          <t>Rekonsiliasi Klaim BPJS ke Berita Acara Verifikasi</t>
        </is>
      </c>
      <c r="C17" s="17" t="inlineStr">
        <is>
          <t>Tambahan</t>
        </is>
      </c>
      <c r="D17" s="20" t="inlineStr">
        <is>
          <t>X</t>
        </is>
      </c>
      <c r="E17" s="20" t="inlineStr">
        <is>
          <t>X</t>
        </is>
      </c>
      <c r="F17" s="20" t="n"/>
      <c r="G17" s="20" t="n"/>
      <c r="H17" s="20" t="n"/>
      <c r="I17" s="26">
        <f>IF('E.10 Rekonsiliasi Klaim BPJS'!$C$7="","Belum",'E.10 Rekonsiliasi Klaim BPJS'!$C$7)</f>
        <v/>
      </c>
      <c r="J17" s="17">
        <f>IF('E.10 Rekonsiliasi Klaim BPJS'!$C$8="","",'E.10 Rekonsiliasi Klaim BPJS'!$C$8)</f>
        <v/>
      </c>
      <c r="K17" s="17">
        <f>IF('E.10 Rekonsiliasi Klaim BPJS'!$C$9="","",'E.10 Rekonsiliasi Klaim BPJS'!$C$9)</f>
        <v/>
      </c>
      <c r="L17" s="18" t="inlineStr">
        <is>
          <t>E.10 Rekonsiliasi Klaim BPJS</t>
        </is>
      </c>
    </row>
    <row r="18" ht="28" customHeight="1">
      <c r="A18" s="26" t="inlineStr">
        <is>
          <t>E.11</t>
        </is>
      </c>
      <c r="B18" s="18" t="inlineStr">
        <is>
          <t>Evaluasi Klaim Pending dan Dispute</t>
        </is>
      </c>
      <c r="C18" s="17" t="inlineStr">
        <is>
          <t>Tambahan</t>
        </is>
      </c>
      <c r="D18" s="20" t="n"/>
      <c r="E18" s="20" t="inlineStr">
        <is>
          <t>X</t>
        </is>
      </c>
      <c r="F18" s="20" t="n"/>
      <c r="G18" s="20" t="n"/>
      <c r="H18" s="20" t="n"/>
      <c r="I18" s="26">
        <f>IF('E.11 Evaluasi Klaim Pending'!$C$7="","Belum",'E.11 Evaluasi Klaim Pending'!$C$7)</f>
        <v/>
      </c>
      <c r="J18" s="17">
        <f>IF('E.11 Evaluasi Klaim Pending'!$C$8="","",'E.11 Evaluasi Klaim Pending'!$C$8)</f>
        <v/>
      </c>
      <c r="K18" s="17">
        <f>IF('E.11 Evaluasi Klaim Pending'!$C$9="","",'E.11 Evaluasi Klaim Pending'!$C$9)</f>
        <v/>
      </c>
      <c r="L18" s="18" t="inlineStr">
        <is>
          <t>E.11 Evaluasi Klaim Pending</t>
        </is>
      </c>
    </row>
    <row r="20">
      <c r="A20" s="25" t="inlineStr">
        <is>
          <t>Status dan hasil diisi di sheet KK anak masing-masing prosedur (sel kuning bagian A). Program ini dan jawaban asersi di Lead terisi otomatis.</t>
        </is>
      </c>
    </row>
    <row r="21">
      <c r="A21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Konfirmasi Piutang (SA 505)</t>
        </is>
      </c>
      <c r="H2" s="3" t="inlineStr">
        <is>
          <t>Indeks KK</t>
        </is>
      </c>
      <c r="I2" s="4" t="inlineStr">
        <is>
          <t>E.9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positif atas sampel saldo; lakukan prosedur alternatif (penerimaan berikutnya, dokumen pengiriman) untuk yang tidak kembali.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E.10 · Rekonsiliasi Klaim BPJS ke Berita Acara Verifikasi</t>
        </is>
      </c>
      <c r="F2" s="3" t="inlineStr">
        <is>
          <t>Indeks KK</t>
        </is>
      </c>
      <c r="G2" s="4" t="inlineStr">
        <is>
          <t>E.10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piutang BPJS dengan berita acara hasil verifikasi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E.11 · Evaluasi Klaim Pending dan Dispute</t>
        </is>
      </c>
      <c r="I2" s="3" t="inlineStr">
        <is>
          <t>Indeks KK</t>
        </is>
      </c>
      <c r="J2" s="4" t="inlineStr">
        <is>
          <t>E.11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klaim dikembalikan/dispute lebih dari 90 hari untuk pencadangan.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