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 Lead" sheetId="1" state="visible" r:id="rId1"/>
    <sheet xmlns:r="http://schemas.openxmlformats.org/officeDocument/2006/relationships" name="VA Program" sheetId="2" state="visible" r:id="rId2"/>
    <sheet xmlns:r="http://schemas.openxmlformats.org/officeDocument/2006/relationships" name="VA.1 Perbandingan Beban Pokok" sheetId="3" state="visible" r:id="rId3"/>
    <sheet xmlns:r="http://schemas.openxmlformats.org/officeDocument/2006/relationships" name="VA.2 Tinjauan Item Signifikan" sheetId="4" state="visible" r:id="rId4"/>
    <sheet xmlns:r="http://schemas.openxmlformats.org/officeDocument/2006/relationships" name="Keterang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VA · Beban Pokok (Obat, BMHP, Jasa Medis)</t>
        </is>
      </c>
      <c r="I2" s="3" t="inlineStr">
        <is>
          <t>Indeks KK</t>
        </is>
      </c>
      <c r="J2" s="4" t="inlineStr">
        <is>
          <t>VA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VA.1, VA.2</t>
        </is>
      </c>
      <c r="D21" s="19" t="n"/>
      <c r="E21" s="20">
        <f>COUNTIF('VA Program'!$D$8:$D$9,"X")</f>
        <v/>
      </c>
      <c r="F21" s="20">
        <f>COUNTIFS('VA Program'!$D$8:$D$9,"X",'VA Program'!$I$8:$I$9,"Selesai")</f>
        <v/>
      </c>
      <c r="G21" s="20">
        <f>COUNTIFS('VA Program'!$D$8:$D$9,"X",'VA Program'!$J$8:$J$9,"Pengecualian")</f>
        <v/>
      </c>
      <c r="H21" s="16">
        <f>IF(E21=0,"n/a",IF(G21&gt;0,"TT",IF(F21+COUNTIFS('VA Program'!$D$8:$D$9,"X",'VA Program'!$I$8:$I$9,"Tidak Relevan")&lt;E21,"BD",IF(F21=0,"n/a",IF(COUNTIFS('VA Program'!$D$8:$D$9,"X",'VA Program'!$J$8:$J$9,"Koreksi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VA.1</t>
        </is>
      </c>
      <c r="D22" s="19" t="n"/>
      <c r="E22" s="20">
        <f>COUNTIF('VA Program'!$E$8:$E$9,"X")</f>
        <v/>
      </c>
      <c r="F22" s="20">
        <f>COUNTIFS('VA Program'!$E$8:$E$9,"X",'VA Program'!$I$8:$I$9,"Selesai")</f>
        <v/>
      </c>
      <c r="G22" s="20">
        <f>COUNTIFS('VA Program'!$E$8:$E$9,"X",'VA Program'!$J$8:$J$9,"Pengecualian")</f>
        <v/>
      </c>
      <c r="H22" s="16">
        <f>IF(E22=0,"n/a",IF(G22&gt;0,"TT",IF(F22+COUNTIFS('VA Program'!$E$8:$E$9,"X",'VA Program'!$I$8:$I$9,"Tidak Relevan")&lt;E22,"BD",IF(F22=0,"n/a",IF(COUNTIFS('VA Program'!$E$8:$E$9,"X",'VA Program'!$J$8:$J$9,"Koreksi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VA.1</t>
        </is>
      </c>
      <c r="D23" s="19" t="n"/>
      <c r="E23" s="20">
        <f>COUNTIF('VA Program'!$F$8:$F$9,"X")</f>
        <v/>
      </c>
      <c r="F23" s="20">
        <f>COUNTIFS('VA Program'!$F$8:$F$9,"X",'VA Program'!$I$8:$I$9,"Selesai")</f>
        <v/>
      </c>
      <c r="G23" s="20">
        <f>COUNTIFS('VA Program'!$F$8:$F$9,"X",'VA Program'!$J$8:$J$9,"Pengecualian")</f>
        <v/>
      </c>
      <c r="H23" s="16">
        <f>IF(E23=0,"n/a",IF(G23&gt;0,"TT",IF(F23+COUNTIFS('VA Program'!$F$8:$F$9,"X",'VA Program'!$I$8:$I$9,"Tidak Relevan")&lt;E23,"BD",IF(F23=0,"n/a",IF(COUNTIFS('VA Program'!$F$8:$F$9,"X",'VA Program'!$J$8:$J$9,"Koreksi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VA.1</t>
        </is>
      </c>
      <c r="D25" s="19" t="n"/>
      <c r="E25" s="20">
        <f>COUNTIF('VA Program'!$H$8:$H$9,"X")</f>
        <v/>
      </c>
      <c r="F25" s="20">
        <f>COUNTIFS('VA Program'!$H$8:$H$9,"X",'VA Program'!$I$8:$I$9,"Selesai")</f>
        <v/>
      </c>
      <c r="G25" s="20">
        <f>COUNTIFS('VA Program'!$H$8:$H$9,"X",'VA Program'!$J$8:$J$9,"Pengecualian")</f>
        <v/>
      </c>
      <c r="H25" s="16">
        <f>IF(E25=0,"n/a",IF(G25&gt;0,"TT",IF(F25+COUNTIFS('VA Program'!$H$8:$H$9,"X",'VA Program'!$I$8:$I$9,"Tidak Relevan")&lt;E25,"BD",IF(F25=0,"n/a",IF(COUNTIFS('VA Program'!$H$8:$H$9,"X",'VA Program'!$J$8:$J$9,"Koreksi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beban Pokok (Obat, BMHP, Jasa Medis)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VA · Beban Pokok (Obat, BMHP, Jasa Medis)</t>
        </is>
      </c>
      <c r="K2" s="3" t="inlineStr">
        <is>
          <t>Indeks KK</t>
        </is>
      </c>
      <c r="L2" s="4" t="inlineStr">
        <is>
          <t>VA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VA.1</t>
        </is>
      </c>
      <c r="B8" s="18" t="inlineStr">
        <is>
          <t>Perbandingan Beban Pokok Penjualan dengan Periode Sebelumnya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IF('VA.1 Perbandingan Beban Pokok'!$C$7="","Belum",'VA.1 Perbandingan Beban Pokok'!$C$7)</f>
        <v/>
      </c>
      <c r="J8" s="17">
        <f>IF('VA.1 Perbandingan Beban Pokok'!$C$8="","",'VA.1 Perbandingan Beban Pokok'!$C$8)</f>
        <v/>
      </c>
      <c r="K8" s="17">
        <f>IF('VA.1 Perbandingan Beban Pokok'!$C$9="","",'VA.1 Perbandingan Beban Pokok'!$C$9)</f>
        <v/>
      </c>
      <c r="L8" s="18" t="inlineStr">
        <is>
          <t>VA.1 Perbandingan Beban Pokok</t>
        </is>
      </c>
    </row>
    <row r="9" ht="28" customHeight="1">
      <c r="A9" s="26" t="inlineStr">
        <is>
          <t>VA.2</t>
        </is>
      </c>
      <c r="B9" s="18" t="inlineStr">
        <is>
          <t>Tinjauan Item Signifikan &amp; Tidak Biasa</t>
        </is>
      </c>
      <c r="C9" s="17" t="inlineStr">
        <is>
          <t>PSP</t>
        </is>
      </c>
      <c r="D9" s="20" t="inlineStr">
        <is>
          <t>X</t>
        </is>
      </c>
      <c r="E9" s="20" t="n"/>
      <c r="F9" s="20" t="n"/>
      <c r="G9" s="20" t="inlineStr">
        <is>
          <t>-</t>
        </is>
      </c>
      <c r="H9" s="20" t="n"/>
      <c r="I9" s="26">
        <f>IF('VA.2 Tinjauan Item Signifikan'!$C$7="","Belum",'VA.2 Tinjauan Item Signifikan'!$C$7)</f>
        <v/>
      </c>
      <c r="J9" s="17">
        <f>IF('VA.2 Tinjauan Item Signifikan'!$C$8="","",'VA.2 Tinjauan Item Signifikan'!$C$8)</f>
        <v/>
      </c>
      <c r="K9" s="17">
        <f>IF('VA.2 Tinjauan Item Signifikan'!$C$9="","",'VA.2 Tinjauan Item Signifikan'!$C$9)</f>
        <v/>
      </c>
      <c r="L9" s="18" t="inlineStr">
        <is>
          <t>VA.2 Tinjauan Item Signifikan</t>
        </is>
      </c>
    </row>
    <row r="11">
      <c r="A11" s="25" t="inlineStr">
        <is>
          <t>Status dan hasil diisi di sheet KK anak masing-masing prosedur (sel kuning bagian A). Program ini dan jawaban asersi di Lead terisi otomatis.</t>
        </is>
      </c>
    </row>
    <row r="12">
      <c r="A12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VA.1 · Perbandingan Beban Pokok Penjualan dengan Periode Sebelumnya</t>
        </is>
      </c>
      <c r="H2" s="3" t="inlineStr">
        <is>
          <t>Indeks KK</t>
        </is>
      </c>
      <c r="I2" s="4" t="inlineStr">
        <is>
          <t>VA.1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HPP dan margin kotor bulanan dengan tahun lalu;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VA.2 · Tinjauan Item Signifikan &amp; Tidak Biasa</t>
        </is>
      </c>
      <c r="F2" s="3" t="inlineStr">
        <is>
          <t>Indeks KK</t>
        </is>
      </c>
      <c r="G2" s="4" t="inlineStr">
        <is>
          <t>VA.2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jurnal HPP yang signifikan atau tidak biasa dan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