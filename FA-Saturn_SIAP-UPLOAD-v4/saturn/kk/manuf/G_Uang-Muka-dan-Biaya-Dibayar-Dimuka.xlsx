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 Lead" sheetId="1" state="visible" r:id="rId1"/>
    <sheet xmlns:r="http://schemas.openxmlformats.org/officeDocument/2006/relationships" name="G Program" sheetId="2" state="visible" r:id="rId2"/>
    <sheet xmlns:r="http://schemas.openxmlformats.org/officeDocument/2006/relationships" name="G.1 Verifikasi Eksistensi dan" sheetId="3" state="visible" r:id="rId3"/>
    <sheet xmlns:r="http://schemas.openxmlformats.org/officeDocument/2006/relationships" name="Keterang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G · Uang Muka &amp; Biaya Dibayar Dimuka</t>
        </is>
      </c>
      <c r="I2" s="3" t="inlineStr">
        <is>
          <t>Indeks KK</t>
        </is>
      </c>
      <c r="J2" s="4" t="inlineStr">
        <is>
          <t>G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G-1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G-2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G-3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G-4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G-5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G-6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G-7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G-8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G.1</t>
        </is>
      </c>
      <c r="D21" s="19" t="n"/>
      <c r="E21" s="20">
        <f>COUNTIF('G Program'!$D$8:$D$8,"X")</f>
        <v/>
      </c>
      <c r="F21" s="20">
        <f>COUNTIFS('G Program'!$D$8:$D$8,"X",'G Program'!$I$8:$I$8,"Selesai")</f>
        <v/>
      </c>
      <c r="G21" s="20">
        <f>COUNTIFS('G Program'!$D$8:$D$8,"X",'G Program'!$J$8:$J$8,"Pengecualian")</f>
        <v/>
      </c>
      <c r="H21" s="16">
        <f>IF(E21=0,"n/a",IF(G21&gt;0,"TT",IF(F21+COUNTIFS('G Program'!$D$8:$D$8,"X",'G Program'!$I$8:$I$8,"Tidak Relevan")&lt;E21,"BD",IF(F21=0,"n/a",IF(COUNTIFS('G Program'!$D$8:$D$8,"X",'G Program'!$J$8:$J$8,"Koreksi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G.1</t>
        </is>
      </c>
      <c r="D22" s="19" t="n"/>
      <c r="E22" s="20">
        <f>COUNTIF('G Program'!$E$8:$E$8,"X")</f>
        <v/>
      </c>
      <c r="F22" s="20">
        <f>COUNTIFS('G Program'!$E$8:$E$8,"X",'G Program'!$I$8:$I$8,"Selesai")</f>
        <v/>
      </c>
      <c r="G22" s="20">
        <f>COUNTIFS('G Program'!$E$8:$E$8,"X",'G Program'!$J$8:$J$8,"Pengecualian")</f>
        <v/>
      </c>
      <c r="H22" s="16">
        <f>IF(E22=0,"n/a",IF(G22&gt;0,"TT",IF(F22+COUNTIFS('G Program'!$E$8:$E$8,"X",'G Program'!$I$8:$I$8,"Tidak Relevan")&lt;E22,"BD",IF(F22=0,"n/a",IF(COUNTIFS('G Program'!$E$8:$E$8,"X",'G Program'!$J$8:$J$8,"Koreksi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G.1</t>
        </is>
      </c>
      <c r="D23" s="19" t="n"/>
      <c r="E23" s="20">
        <f>COUNTIF('G Program'!$F$8:$F$8,"X")</f>
        <v/>
      </c>
      <c r="F23" s="20">
        <f>COUNTIFS('G Program'!$F$8:$F$8,"X",'G Program'!$I$8:$I$8,"Selesai")</f>
        <v/>
      </c>
      <c r="G23" s="20">
        <f>COUNTIFS('G Program'!$F$8:$F$8,"X",'G Program'!$J$8:$J$8,"Pengecualian")</f>
        <v/>
      </c>
      <c r="H23" s="16">
        <f>IF(E23=0,"n/a",IF(G23&gt;0,"TT",IF(F23+COUNTIFS('G Program'!$F$8:$F$8,"X",'G Program'!$I$8:$I$8,"Tidak Relevan")&lt;E23,"BD",IF(F23=0,"n/a",IF(COUNTIFS('G Program'!$F$8:$F$8,"X",'G Program'!$J$8:$J$8,"Koreksi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G.1</t>
        </is>
      </c>
      <c r="D24" s="19" t="n"/>
      <c r="E24" s="20">
        <f>COUNTIF('G Program'!$G$8:$G$8,"X")</f>
        <v/>
      </c>
      <c r="F24" s="20">
        <f>COUNTIFS('G Program'!$G$8:$G$8,"X",'G Program'!$I$8:$I$8,"Selesai")</f>
        <v/>
      </c>
      <c r="G24" s="20">
        <f>COUNTIFS('G Program'!$G$8:$G$8,"X",'G Program'!$J$8:$J$8,"Pengecualian")</f>
        <v/>
      </c>
      <c r="H24" s="16">
        <f>IF(E24=0,"n/a",IF(G24&gt;0,"TT",IF(F24+COUNTIFS('G Program'!$G$8:$G$8,"X",'G Program'!$I$8:$I$8,"Tidak Relevan")&lt;E24,"BD",IF(F24=0,"n/a",IF(COUNTIFS('G Program'!$G$8:$G$8,"X",'G Program'!$J$8:$J$8,"Koreksi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G.1</t>
        </is>
      </c>
      <c r="D25" s="19" t="n"/>
      <c r="E25" s="20">
        <f>COUNTIF('G Program'!$H$8:$H$8,"X")</f>
        <v/>
      </c>
      <c r="F25" s="20">
        <f>COUNTIFS('G Program'!$H$8:$H$8,"X",'G Program'!$I$8:$I$8,"Selesai")</f>
        <v/>
      </c>
      <c r="G25" s="20">
        <f>COUNTIFS('G Program'!$H$8:$H$8,"X",'G Program'!$J$8:$J$8,"Pengecualian")</f>
        <v/>
      </c>
      <c r="H25" s="16">
        <f>IF(E25=0,"n/a",IF(G25&gt;0,"TT",IF(F25+COUNTIFS('G Program'!$H$8:$H$8,"X",'G Program'!$I$8:$I$8,"Tidak Relevan")&lt;E25,"BD",IF(F25=0,"n/a",IF(COUNTIFS('G Program'!$H$8:$H$8,"X",'G Program'!$J$8:$J$8,"Koreksi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uang Muka &amp; Biaya Dibayar Dimuka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G · Uang Muka &amp; Biaya Dibayar Dimuka</t>
        </is>
      </c>
      <c r="K2" s="3" t="inlineStr">
        <is>
          <t>Indeks KK</t>
        </is>
      </c>
      <c r="L2" s="4" t="inlineStr">
        <is>
          <t>G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G.1</t>
        </is>
      </c>
      <c r="B8" s="18" t="inlineStr">
        <is>
          <t>Verifikasi Eksistensi dan Valuasi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IF('G.1 Verifikasi Eksistensi dan'!$C$7="","Belum",'G.1 Verifikasi Eksistensi dan'!$C$7)</f>
        <v/>
      </c>
      <c r="J8" s="17">
        <f>IF('G.1 Verifikasi Eksistensi dan'!$C$8="","",'G.1 Verifikasi Eksistensi dan'!$C$8)</f>
        <v/>
      </c>
      <c r="K8" s="17">
        <f>IF('G.1 Verifikasi Eksistensi dan'!$C$9="","",'G.1 Verifikasi Eksistensi dan'!$C$9)</f>
        <v/>
      </c>
      <c r="L8" s="18" t="inlineStr">
        <is>
          <t>G.1 Verifikasi Eksistensi dan</t>
        </is>
      </c>
    </row>
    <row r="10">
      <c r="A10" s="25" t="inlineStr">
        <is>
          <t>Status dan hasil diisi di sheet KK anak masing-masing prosedur (sel kuning bagian A). Program ini dan jawaban asersi di Lead terisi otomatis.</t>
        </is>
      </c>
    </row>
    <row r="11">
      <c r="A11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G.1 · Verifikasi Eksistensi dan Valuasi</t>
        </is>
      </c>
      <c r="F2" s="3" t="inlineStr">
        <is>
          <t>Indeks KK</t>
        </is>
      </c>
      <c r="G2" s="4" t="inlineStr">
        <is>
          <t>G.1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Inspeksi kontrak/polis/tagihan atas sampel saldo dan rekalkulasi bagian yang belum dibebankan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