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 Lead" sheetId="1" state="visible" r:id="rId1"/>
    <sheet xmlns:r="http://schemas.openxmlformats.org/officeDocument/2006/relationships" name="M Program" sheetId="2" state="visible" r:id="rId2"/>
    <sheet xmlns:r="http://schemas.openxmlformats.org/officeDocument/2006/relationships" name="M.1 Verifikasi Pinjaman dan" sheetId="3" state="visible" r:id="rId3"/>
    <sheet xmlns:r="http://schemas.openxmlformats.org/officeDocument/2006/relationships" name="M.2 Inspeksi Kontrak" sheetId="4" state="visible" r:id="rId4"/>
    <sheet xmlns:r="http://schemas.openxmlformats.org/officeDocument/2006/relationships" name="M.3 Kepatuhan terhadap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166" fontId="5" fillId="2" borderId="1" applyProtection="1" pivotButton="0" quotePrefix="0" xfId="0">
      <protection locked="0" hidden="0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M · Utang Bank</t>
        </is>
      </c>
      <c r="I2" s="3" t="inlineStr">
        <is>
          <t>Indeks KK</t>
        </is>
      </c>
      <c r="J2" s="4" t="inlineStr">
        <is>
          <t>M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M-1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M-2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M-3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M-4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M-5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M-6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M-7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M-8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M.1, M.2</t>
        </is>
      </c>
      <c r="D21" s="19" t="n"/>
      <c r="E21" s="20">
        <f>COUNTIF('M Program'!$D$8:$D$10,"X")</f>
        <v/>
      </c>
      <c r="F21" s="20">
        <f>COUNTIFS('M Program'!$D$8:$D$10,"X",'M Program'!$I$8:$I$10,"Selesai")</f>
        <v/>
      </c>
      <c r="G21" s="20">
        <f>COUNTIFS('M Program'!$D$8:$D$10,"X",'M Program'!$J$8:$J$10,"Pengecualian")</f>
        <v/>
      </c>
      <c r="H21" s="16">
        <f>IF(E21=0,"n/a",IF(G21&gt;0,"TT",IF(F21+COUNTIFS('M Program'!$D$8:$D$10,"X",'M Program'!$I$8:$I$10,"Tidak Relevan")&lt;E21,"BD",IF(F21=0,"n/a",IF(COUNTIFS('M Program'!$D$8:$D$10,"X",'M Program'!$J$8:$J$10,"Koreksi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M.1, M.2, M.3</t>
        </is>
      </c>
      <c r="D22" s="19" t="n"/>
      <c r="E22" s="20">
        <f>COUNTIF('M Program'!$E$8:$E$10,"X")</f>
        <v/>
      </c>
      <c r="F22" s="20">
        <f>COUNTIFS('M Program'!$E$8:$E$10,"X",'M Program'!$I$8:$I$10,"Selesai")</f>
        <v/>
      </c>
      <c r="G22" s="20">
        <f>COUNTIFS('M Program'!$E$8:$E$10,"X",'M Program'!$J$8:$J$10,"Pengecualian")</f>
        <v/>
      </c>
      <c r="H22" s="16">
        <f>IF(E22=0,"n/a",IF(G22&gt;0,"TT",IF(F22+COUNTIFS('M Program'!$E$8:$E$10,"X",'M Program'!$I$8:$I$10,"Tidak Relevan")&lt;E22,"BD",IF(F22=0,"n/a",IF(COUNTIFS('M Program'!$E$8:$E$10,"X",'M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M.1, M.2</t>
        </is>
      </c>
      <c r="D23" s="19" t="n"/>
      <c r="E23" s="20">
        <f>COUNTIF('M Program'!$F$8:$F$10,"X")</f>
        <v/>
      </c>
      <c r="F23" s="20">
        <f>COUNTIFS('M Program'!$F$8:$F$10,"X",'M Program'!$I$8:$I$10,"Selesai")</f>
        <v/>
      </c>
      <c r="G23" s="20">
        <f>COUNTIFS('M Program'!$F$8:$F$10,"X",'M Program'!$J$8:$J$10,"Pengecualian")</f>
        <v/>
      </c>
      <c r="H23" s="16">
        <f>IF(E23=0,"n/a",IF(G23&gt;0,"TT",IF(F23+COUNTIFS('M Program'!$F$8:$F$10,"X",'M Program'!$I$8:$I$10,"Tidak Relevan")&lt;E23,"BD",IF(F23=0,"n/a",IF(COUNTIFS('M Program'!$F$8:$F$10,"X",'M Program'!$J$8:$J$10,"Koreksi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M.1, M.2, M.3</t>
        </is>
      </c>
      <c r="D24" s="19" t="n"/>
      <c r="E24" s="20">
        <f>COUNTIF('M Program'!$G$8:$G$10,"X")</f>
        <v/>
      </c>
      <c r="F24" s="20">
        <f>COUNTIFS('M Program'!$G$8:$G$10,"X",'M Program'!$I$8:$I$10,"Selesai")</f>
        <v/>
      </c>
      <c r="G24" s="20">
        <f>COUNTIFS('M Program'!$G$8:$G$10,"X",'M Program'!$J$8:$J$10,"Pengecualian")</f>
        <v/>
      </c>
      <c r="H24" s="16">
        <f>IF(E24=0,"n/a",IF(G24&gt;0,"TT",IF(F24+COUNTIFS('M Program'!$G$8:$G$10,"X",'M Program'!$I$8:$I$10,"Tidak Relevan")&lt;E24,"BD",IF(F24=0,"n/a",IF(COUNTIFS('M Program'!$G$8:$G$10,"X",'M Program'!$J$8:$J$10,"Koreksi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M.1, M.2, M.3</t>
        </is>
      </c>
      <c r="D25" s="19" t="n"/>
      <c r="E25" s="20">
        <f>COUNTIF('M Program'!$H$8:$H$10,"X")</f>
        <v/>
      </c>
      <c r="F25" s="20">
        <f>COUNTIFS('M Program'!$H$8:$H$10,"X",'M Program'!$I$8:$I$10,"Selesai")</f>
        <v/>
      </c>
      <c r="G25" s="20">
        <f>COUNTIFS('M Program'!$H$8:$H$10,"X",'M Program'!$J$8:$J$10,"Pengecualian")</f>
        <v/>
      </c>
      <c r="H25" s="16">
        <f>IF(E25=0,"n/a",IF(G25&gt;0,"TT",IF(F25+COUNTIFS('M Program'!$H$8:$H$10,"X",'M Program'!$I$8:$I$10,"Tidak Relevan")&lt;E25,"BD",IF(F25=0,"n/a",IF(COUNTIFS('M Program'!$H$8:$H$10,"X",'M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Bank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M · Utang Bank</t>
        </is>
      </c>
      <c r="K2" s="3" t="inlineStr">
        <is>
          <t>Indeks KK</t>
        </is>
      </c>
      <c r="L2" s="4" t="inlineStr">
        <is>
          <t>M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M.1</t>
        </is>
      </c>
      <c r="B8" s="18" t="inlineStr">
        <is>
          <t>Verifikasi Pinjaman dan Kewajiban Terkait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IF('M.1 Verifikasi Pinjaman dan'!$C$7="","Belum",'M.1 Verifikasi Pinjaman dan'!$C$7)</f>
        <v/>
      </c>
      <c r="J8" s="17">
        <f>IF('M.1 Verifikasi Pinjaman dan'!$C$8="","",'M.1 Verifikasi Pinjaman dan'!$C$8)</f>
        <v/>
      </c>
      <c r="K8" s="17">
        <f>IF('M.1 Verifikasi Pinjaman dan'!$C$9="","",'M.1 Verifikasi Pinjaman dan'!$C$9)</f>
        <v/>
      </c>
      <c r="L8" s="18" t="inlineStr">
        <is>
          <t>M.1 Verifikasi Pinjaman dan</t>
        </is>
      </c>
    </row>
    <row r="9" ht="28" customHeight="1">
      <c r="A9" s="26" t="inlineStr">
        <is>
          <t>M.2</t>
        </is>
      </c>
      <c r="B9" s="18" t="inlineStr">
        <is>
          <t>Inspeksi Kontrak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IF('M.2 Inspeksi Kontrak'!$C$7="","Belum",'M.2 Inspeksi Kontrak'!$C$7)</f>
        <v/>
      </c>
      <c r="J9" s="17">
        <f>IF('M.2 Inspeksi Kontrak'!$C$8="","",'M.2 Inspeksi Kontrak'!$C$8)</f>
        <v/>
      </c>
      <c r="K9" s="17">
        <f>IF('M.2 Inspeksi Kontrak'!$C$9="","",'M.2 Inspeksi Kontrak'!$C$9)</f>
        <v/>
      </c>
      <c r="L9" s="18" t="inlineStr">
        <is>
          <t>M.2 Inspeksi Kontrak</t>
        </is>
      </c>
    </row>
    <row r="10" ht="28" customHeight="1">
      <c r="A10" s="26" t="inlineStr">
        <is>
          <t>M.3</t>
        </is>
      </c>
      <c r="B10" s="18" t="inlineStr">
        <is>
          <t>Kepatuhan terhadap Ketentuan Kontrak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n"/>
      <c r="G10" s="20" t="inlineStr">
        <is>
          <t>X</t>
        </is>
      </c>
      <c r="H10" s="20" t="inlineStr">
        <is>
          <t>X</t>
        </is>
      </c>
      <c r="I10" s="26">
        <f>IF('M.3 Kepatuhan terhadap'!$C$7="","Belum",'M.3 Kepatuhan terhadap'!$C$7)</f>
        <v/>
      </c>
      <c r="J10" s="17">
        <f>IF('M.3 Kepatuhan terhadap'!$C$8="","",'M.3 Kepatuhan terhadap'!$C$8)</f>
        <v/>
      </c>
      <c r="K10" s="17">
        <f>IF('M.3 Kepatuhan terhadap'!$C$9="","",'M.3 Kepatuhan terhadap'!$C$9)</f>
        <v/>
      </c>
      <c r="L10" s="18" t="inlineStr">
        <is>
          <t>M.3 Kepatuhan terhadap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M.1 · Verifikasi Pinjaman dan Kewajiban Terkait</t>
        </is>
      </c>
      <c r="H2" s="3" t="inlineStr">
        <is>
          <t>Indeks KK</t>
        </is>
      </c>
      <c r="I2" s="4" t="inlineStr">
        <is>
          <t>M.1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Konfirmasi saldo pinjaman, bunga terutang, jaminan, dan fasilitas ke kreditur.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8" t="n"/>
      <c r="E16" s="28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8" t="n"/>
      <c r="E17" s="28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8" t="n"/>
      <c r="E18" s="28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8" t="n"/>
      <c r="E19" s="28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8" t="n"/>
      <c r="E20" s="28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8" t="n"/>
      <c r="E21" s="28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8" t="n"/>
      <c r="E22" s="28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8" t="n"/>
      <c r="E23" s="28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8" t="n"/>
      <c r="E24" s="28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8" t="n"/>
      <c r="E25" s="28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8" t="n"/>
      <c r="E26" s="28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8" t="n"/>
      <c r="E27" s="28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8" t="n"/>
      <c r="E28" s="28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8" t="n"/>
      <c r="E29" s="28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8" t="n"/>
      <c r="E30" s="28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9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M.2 · Inspeksi Kontrak</t>
        </is>
      </c>
      <c r="F2" s="3" t="inlineStr">
        <is>
          <t>Indeks KK</t>
        </is>
      </c>
      <c r="G2" s="4" t="inlineStr">
        <is>
          <t>M.2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Baca perjanjian kredit: jumlah, jangka waktu, bunga, jaminan, dan klasifikasi jangka pendek/panjang.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M.3 · Kepatuhan terhadap Ketentuan Kontrak</t>
        </is>
      </c>
      <c r="F2" s="3" t="inlineStr">
        <is>
          <t>Indeks KK</t>
        </is>
      </c>
      <c r="G2" s="4" t="inlineStr">
        <is>
          <t>M.3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kepatuhan financial covenant per tanggal neraca; evaluasi dampak pelanggaran terhadap klasifikasi dan pengungkapan.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