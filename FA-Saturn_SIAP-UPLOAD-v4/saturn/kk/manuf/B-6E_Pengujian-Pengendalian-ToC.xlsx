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SCOT 1" sheetId="2" state="visible" r:id="rId2"/>
    <sheet xmlns:r="http://schemas.openxmlformats.org/officeDocument/2006/relationships" name="SCOT 2" sheetId="3" state="visible" r:id="rId3"/>
    <sheet xmlns:r="http://schemas.openxmlformats.org/officeDocument/2006/relationships" name="SCOT 3" sheetId="4" state="visible" r:id="rId4"/>
    <sheet xmlns:r="http://schemas.openxmlformats.org/officeDocument/2006/relationships" name="SCOT 4" sheetId="5" state="visible" r:id="rId5"/>
    <sheet xmlns:r="http://schemas.openxmlformats.org/officeDocument/2006/relationships" name="SCOT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2" borderId="1" applyProtection="1" pivotButton="0" quotePrefix="0" xfId="0">
      <protection locked="0" hidden="0"/>
    </xf>
    <xf numFmtId="165" fontId="5" fillId="2" borderId="1" applyProtection="1" pivotButton="0" quotePrefix="0" xfId="0">
      <protection locked="0" hidden="0"/>
    </xf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4" customWidth="1" min="4" max="4"/>
    <col width="30" customWidth="1" min="5" max="5"/>
    <col width="16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Pengujian Pengendalian (ToC)</t>
        </is>
      </c>
      <c r="E2" s="3" t="inlineStr">
        <is>
          <t>Indeks KK</t>
        </is>
      </c>
      <c r="F2" s="4" t="inlineStr">
        <is>
          <t>B-6E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Ringkasan per SCOT</t>
        </is>
      </c>
    </row>
    <row r="7" ht="30" customHeight="1">
      <c r="A7" s="8" t="inlineStr">
        <is>
          <t>No</t>
        </is>
      </c>
      <c r="B7" s="8" t="inlineStr">
        <is>
          <t>SCOT</t>
        </is>
      </c>
      <c r="C7" s="8" t="inlineStr">
        <is>
          <t>Sampel</t>
        </is>
      </c>
      <c r="D7" s="8" t="inlineStr">
        <is>
          <t>Penyimpangan</t>
        </is>
      </c>
      <c r="E7" s="8" t="inlineStr">
        <is>
          <t>Kesimpulan</t>
        </is>
      </c>
      <c r="F7" s="8" t="inlineStr">
        <is>
          <t>Akun Terkait</t>
        </is>
      </c>
    </row>
    <row r="8">
      <c r="A8" s="9" t="n">
        <v>1</v>
      </c>
      <c r="B8" s="9" t="inlineStr">
        <is>
          <t>Penjualan &amp; Piutang</t>
        </is>
      </c>
      <c r="C8" s="9" t="n">
        <v>25</v>
      </c>
      <c r="D8" s="9">
        <f>'SCOT 1'!E47</f>
        <v/>
      </c>
      <c r="E8" s="9">
        <f>'SCOT 1'!E48</f>
        <v/>
      </c>
      <c r="F8" s="10" t="inlineStr">
        <is>
          <t>Kas dan Setara Kas, Piutang Usaha, Pendapatan</t>
        </is>
      </c>
    </row>
    <row r="9">
      <c r="A9" s="9" t="n">
        <v>2</v>
      </c>
      <c r="B9" s="9" t="inlineStr">
        <is>
          <t>Pembelian &amp; Utang</t>
        </is>
      </c>
      <c r="C9" s="9" t="n">
        <v>25</v>
      </c>
      <c r="D9" s="9">
        <f>'SCOT 2'!E47</f>
        <v/>
      </c>
      <c r="E9" s="9">
        <f>'SCOT 2'!E48</f>
        <v/>
      </c>
      <c r="F9" s="10" t="inlineStr">
        <is>
          <t>Uang Muka &amp; Biaya Dibayar Dimuka, Utang Usaha, Beban Usaha</t>
        </is>
      </c>
    </row>
    <row r="10">
      <c r="A10" s="9" t="n">
        <v>3</v>
      </c>
      <c r="B10" s="9" t="inlineStr">
        <is>
          <t>Produksi &amp; Persediaan</t>
        </is>
      </c>
      <c r="C10" s="9" t="n">
        <v>25</v>
      </c>
      <c r="D10" s="9">
        <f>'SCOT 3'!E47</f>
        <v/>
      </c>
      <c r="E10" s="9">
        <f>'SCOT 3'!E48</f>
        <v/>
      </c>
      <c r="F10" s="10" t="inlineStr">
        <is>
          <t>Persediaan, Harga Pokok Penjualan</t>
        </is>
      </c>
    </row>
    <row r="11">
      <c r="A11" s="9" t="n">
        <v>4</v>
      </c>
      <c r="B11" s="9" t="inlineStr">
        <is>
          <t>Penggajian</t>
        </is>
      </c>
      <c r="C11" s="9" t="n">
        <v>25</v>
      </c>
      <c r="D11" s="9">
        <f>'SCOT 4'!E46</f>
        <v/>
      </c>
      <c r="E11" s="9">
        <f>'SCOT 4'!E47</f>
        <v/>
      </c>
      <c r="F11" s="10" t="inlineStr"/>
    </row>
    <row r="12">
      <c r="A12" s="9" t="n">
        <v>5</v>
      </c>
      <c r="B12" s="9" t="inlineStr">
        <is>
          <t>Aset Tetap</t>
        </is>
      </c>
      <c r="C12" s="9" t="n">
        <v>25</v>
      </c>
      <c r="D12" s="9">
        <f>'SCOT 5'!E46</f>
        <v/>
      </c>
      <c r="E12" s="9">
        <f>'SCOT 5'!E47</f>
        <v/>
      </c>
      <c r="F12" s="10" t="inlineStr">
        <is>
          <t>Aset Tetap</t>
        </is>
      </c>
    </row>
    <row r="14">
      <c r="A14" s="11" t="inlineStr">
        <is>
          <t>Satu penyimpangan dari 25 sampel berarti kontrol tidak dapat diandalkan; revisi CRA (B-8) akun terkait menjadi substantif penuh.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8" customWidth="1" min="8" max="8"/>
    <col width="14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Penjualan &amp; Piutang</t>
        </is>
      </c>
      <c r="I2" s="3" t="inlineStr">
        <is>
          <t>Indeks KK</t>
        </is>
      </c>
      <c r="J2" s="4" t="inlineStr">
        <is>
          <t>B-6E.1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Pesanan penjualan disetujui sebelum pengiriman</t>
        </is>
      </c>
    </row>
    <row r="8">
      <c r="A8" s="12" t="inlineStr">
        <is>
          <t>K2</t>
        </is>
      </c>
      <c r="B8" s="13" t="inlineStr">
        <is>
          <t>Surat jalan dicocokkan ke faktur secara otomatis</t>
        </is>
      </c>
    </row>
    <row r="9">
      <c r="A9" s="12" t="inlineStr">
        <is>
          <t>K3</t>
        </is>
      </c>
      <c r="B9" s="13" t="inlineStr">
        <is>
          <t>Batas kredit pelanggan dikunci di ERP</t>
        </is>
      </c>
    </row>
    <row r="11">
      <c r="A11" s="7" t="inlineStr">
        <is>
          <t>Walkthrough (WT) SCOT</t>
        </is>
      </c>
    </row>
    <row r="12">
      <c r="A12" s="11" t="inlineStr">
        <is>
          <t>Telusuri satu transaksi SCOT ini dari awal sampai tercatat di LK; catat titik rawan salah saji (what can go wrong) dan kontrol kunci yang menanganinya.</t>
        </is>
      </c>
    </row>
    <row r="13" ht="30" customHeight="1">
      <c r="A13" s="8" t="inlineStr">
        <is>
          <t>Langkah</t>
        </is>
      </c>
      <c r="B13" s="8" t="inlineStr">
        <is>
          <t>Tanggal</t>
        </is>
      </c>
      <c r="C13" s="8" t="inlineStr">
        <is>
          <t>Dokumen</t>
        </is>
      </c>
      <c r="D13" s="8" t="inlineStr">
        <is>
          <t>Uraian dan Kontrol yang Diamati</t>
        </is>
      </c>
      <c r="E13" s="8" t="inlineStr">
        <is>
          <t>Kesimpulan</t>
        </is>
      </c>
      <c r="F13" s="8" t="inlineStr"/>
      <c r="G13" s="8" t="inlineStr"/>
      <c r="H13" s="8" t="inlineStr"/>
      <c r="I13" s="8" t="inlineStr"/>
      <c r="J13" s="8" t="inlineStr"/>
    </row>
    <row r="14">
      <c r="A14" s="9" t="n">
        <v>1</v>
      </c>
      <c r="B14" s="6" t="n"/>
      <c r="C14" s="6" t="n"/>
      <c r="D14" s="6" t="n"/>
      <c r="E14" s="6" t="n"/>
    </row>
    <row r="15">
      <c r="A15" s="9" t="n">
        <v>2</v>
      </c>
      <c r="B15" s="6" t="n"/>
      <c r="C15" s="6" t="n"/>
      <c r="D15" s="6" t="n"/>
      <c r="E15" s="6" t="n"/>
    </row>
    <row r="16">
      <c r="A16" s="9" t="n">
        <v>3</v>
      </c>
      <c r="B16" s="6" t="n"/>
      <c r="C16" s="6" t="n"/>
      <c r="D16" s="6" t="n"/>
      <c r="E16" s="6" t="n"/>
    </row>
    <row r="17">
      <c r="A17" s="9" t="n">
        <v>4</v>
      </c>
      <c r="B17" s="6" t="n"/>
      <c r="C17" s="6" t="n"/>
      <c r="D17" s="6" t="n"/>
      <c r="E17" s="6" t="n"/>
    </row>
    <row r="18">
      <c r="A18" s="9" t="n">
        <v>5</v>
      </c>
      <c r="B18" s="6" t="n"/>
      <c r="C18" s="6" t="n"/>
      <c r="D18" s="6" t="n"/>
      <c r="E18" s="6" t="n"/>
    </row>
    <row r="20">
      <c r="A20" s="7" t="inlineStr">
        <is>
          <t>Pengujian Pengendalian (25 Sampel)</t>
        </is>
      </c>
    </row>
    <row r="21" ht="30" customHeight="1">
      <c r="A21" s="8" t="inlineStr">
        <is>
          <t>No</t>
        </is>
      </c>
      <c r="B21" s="8" t="inlineStr">
        <is>
          <t>Tanggal</t>
        </is>
      </c>
      <c r="C21" s="8" t="inlineStr">
        <is>
          <t>No. Dokumen</t>
        </is>
      </c>
      <c r="D21" s="8" t="inlineStr">
        <is>
          <t>Uraian</t>
        </is>
      </c>
      <c r="E21" s="8" t="inlineStr">
        <is>
          <t>Nilai</t>
        </is>
      </c>
      <c r="F21" s="8" t="inlineStr">
        <is>
          <t>K1</t>
        </is>
      </c>
      <c r="G21" s="8" t="inlineStr">
        <is>
          <t>K2</t>
        </is>
      </c>
      <c r="H21" s="8" t="inlineStr">
        <is>
          <t>K3</t>
        </is>
      </c>
      <c r="I21" s="8" t="inlineStr">
        <is>
          <t>Hasil</t>
        </is>
      </c>
      <c r="J21" s="8" t="inlineStr">
        <is>
          <t>Keterangan</t>
        </is>
      </c>
    </row>
    <row r="22">
      <c r="A22" s="9" t="n">
        <v>1</v>
      </c>
      <c r="B22" s="14" t="n"/>
      <c r="C22" s="6" t="n"/>
      <c r="D22" s="6" t="n"/>
      <c r="E22" s="15" t="n"/>
      <c r="F22" s="6" t="n"/>
      <c r="G22" s="6" t="n"/>
      <c r="H22" s="6" t="n"/>
      <c r="I22" s="9">
        <f>IF(COUNTA(F22:H22)=0,"",IF(COUNTIF(F22:H22,"X")&gt;0,"Penyimpangan","Sesuai"))</f>
        <v/>
      </c>
      <c r="J22" s="6" t="n"/>
    </row>
    <row r="23">
      <c r="A23" s="9" t="n">
        <v>2</v>
      </c>
      <c r="B23" s="14" t="n"/>
      <c r="C23" s="6" t="n"/>
      <c r="D23" s="6" t="n"/>
      <c r="E23" s="15" t="n"/>
      <c r="F23" s="6" t="n"/>
      <c r="G23" s="6" t="n"/>
      <c r="H23" s="6" t="n"/>
      <c r="I23" s="9">
        <f>IF(COUNTA(F23:H23)=0,"",IF(COUNTIF(F23:H23,"X")&gt;0,"Penyimpangan","Sesuai"))</f>
        <v/>
      </c>
      <c r="J23" s="6" t="n"/>
    </row>
    <row r="24">
      <c r="A24" s="9" t="n">
        <v>3</v>
      </c>
      <c r="B24" s="14" t="n"/>
      <c r="C24" s="6" t="n"/>
      <c r="D24" s="6" t="n"/>
      <c r="E24" s="15" t="n"/>
      <c r="F24" s="6" t="n"/>
      <c r="G24" s="6" t="n"/>
      <c r="H24" s="6" t="n"/>
      <c r="I24" s="9">
        <f>IF(COUNTA(F24:H24)=0,"",IF(COUNTIF(F24:H24,"X")&gt;0,"Penyimpangan","Sesuai"))</f>
        <v/>
      </c>
      <c r="J24" s="6" t="n"/>
    </row>
    <row r="25">
      <c r="A25" s="9" t="n">
        <v>4</v>
      </c>
      <c r="B25" s="14" t="n"/>
      <c r="C25" s="6" t="n"/>
      <c r="D25" s="6" t="n"/>
      <c r="E25" s="15" t="n"/>
      <c r="F25" s="6" t="n"/>
      <c r="G25" s="6" t="n"/>
      <c r="H25" s="6" t="n"/>
      <c r="I25" s="9">
        <f>IF(COUNTA(F25:H25)=0,"",IF(COUNTIF(F25:H25,"X")&gt;0,"Penyimpangan","Sesuai"))</f>
        <v/>
      </c>
      <c r="J25" s="6" t="n"/>
    </row>
    <row r="26">
      <c r="A26" s="9" t="n">
        <v>5</v>
      </c>
      <c r="B26" s="14" t="n"/>
      <c r="C26" s="6" t="n"/>
      <c r="D26" s="6" t="n"/>
      <c r="E26" s="15" t="n"/>
      <c r="F26" s="6" t="n"/>
      <c r="G26" s="6" t="n"/>
      <c r="H26" s="6" t="n"/>
      <c r="I26" s="9">
        <f>IF(COUNTA(F26:H26)=0,"",IF(COUNTIF(F26:H26,"X")&gt;0,"Penyimpangan","Sesuai"))</f>
        <v/>
      </c>
      <c r="J26" s="6" t="n"/>
    </row>
    <row r="27">
      <c r="A27" s="9" t="n">
        <v>6</v>
      </c>
      <c r="B27" s="14" t="n"/>
      <c r="C27" s="6" t="n"/>
      <c r="D27" s="6" t="n"/>
      <c r="E27" s="15" t="n"/>
      <c r="F27" s="6" t="n"/>
      <c r="G27" s="6" t="n"/>
      <c r="H27" s="6" t="n"/>
      <c r="I27" s="9">
        <f>IF(COUNTA(F27:H27)=0,"",IF(COUNTIF(F27:H27,"X")&gt;0,"Penyimpangan","Sesuai"))</f>
        <v/>
      </c>
      <c r="J27" s="6" t="n"/>
    </row>
    <row r="28">
      <c r="A28" s="9" t="n">
        <v>7</v>
      </c>
      <c r="B28" s="14" t="n"/>
      <c r="C28" s="6" t="n"/>
      <c r="D28" s="6" t="n"/>
      <c r="E28" s="15" t="n"/>
      <c r="F28" s="6" t="n"/>
      <c r="G28" s="6" t="n"/>
      <c r="H28" s="6" t="n"/>
      <c r="I28" s="9">
        <f>IF(COUNTA(F28:H28)=0,"",IF(COUNTIF(F28:H28,"X")&gt;0,"Penyimpangan","Sesuai"))</f>
        <v/>
      </c>
      <c r="J28" s="6" t="n"/>
    </row>
    <row r="29">
      <c r="A29" s="9" t="n">
        <v>8</v>
      </c>
      <c r="B29" s="14" t="n"/>
      <c r="C29" s="6" t="n"/>
      <c r="D29" s="6" t="n"/>
      <c r="E29" s="15" t="n"/>
      <c r="F29" s="6" t="n"/>
      <c r="G29" s="6" t="n"/>
      <c r="H29" s="6" t="n"/>
      <c r="I29" s="9">
        <f>IF(COUNTA(F29:H29)=0,"",IF(COUNTIF(F29:H29,"X")&gt;0,"Penyimpangan","Sesuai"))</f>
        <v/>
      </c>
      <c r="J29" s="6" t="n"/>
    </row>
    <row r="30">
      <c r="A30" s="9" t="n">
        <v>9</v>
      </c>
      <c r="B30" s="14" t="n"/>
      <c r="C30" s="6" t="n"/>
      <c r="D30" s="6" t="n"/>
      <c r="E30" s="15" t="n"/>
      <c r="F30" s="6" t="n"/>
      <c r="G30" s="6" t="n"/>
      <c r="H30" s="6" t="n"/>
      <c r="I30" s="9">
        <f>IF(COUNTA(F30:H30)=0,"",IF(COUNTIF(F30:H30,"X")&gt;0,"Penyimpangan","Sesuai"))</f>
        <v/>
      </c>
      <c r="J30" s="6" t="n"/>
    </row>
    <row r="31">
      <c r="A31" s="9" t="n">
        <v>10</v>
      </c>
      <c r="B31" s="14" t="n"/>
      <c r="C31" s="6" t="n"/>
      <c r="D31" s="6" t="n"/>
      <c r="E31" s="15" t="n"/>
      <c r="F31" s="6" t="n"/>
      <c r="G31" s="6" t="n"/>
      <c r="H31" s="6" t="n"/>
      <c r="I31" s="9">
        <f>IF(COUNTA(F31:H31)=0,"",IF(COUNTIF(F31:H31,"X")&gt;0,"Penyimpangan","Sesuai"))</f>
        <v/>
      </c>
      <c r="J31" s="6" t="n"/>
    </row>
    <row r="32">
      <c r="A32" s="9" t="n">
        <v>11</v>
      </c>
      <c r="B32" s="14" t="n"/>
      <c r="C32" s="6" t="n"/>
      <c r="D32" s="6" t="n"/>
      <c r="E32" s="15" t="n"/>
      <c r="F32" s="6" t="n"/>
      <c r="G32" s="6" t="n"/>
      <c r="H32" s="6" t="n"/>
      <c r="I32" s="9">
        <f>IF(COUNTA(F32:H32)=0,"",IF(COUNTIF(F32:H32,"X")&gt;0,"Penyimpangan","Sesuai"))</f>
        <v/>
      </c>
      <c r="J32" s="6" t="n"/>
    </row>
    <row r="33">
      <c r="A33" s="9" t="n">
        <v>12</v>
      </c>
      <c r="B33" s="14" t="n"/>
      <c r="C33" s="6" t="n"/>
      <c r="D33" s="6" t="n"/>
      <c r="E33" s="15" t="n"/>
      <c r="F33" s="6" t="n"/>
      <c r="G33" s="6" t="n"/>
      <c r="H33" s="6" t="n"/>
      <c r="I33" s="9">
        <f>IF(COUNTA(F33:H33)=0,"",IF(COUNTIF(F33:H33,"X")&gt;0,"Penyimpangan","Sesuai"))</f>
        <v/>
      </c>
      <c r="J33" s="6" t="n"/>
    </row>
    <row r="34">
      <c r="A34" s="9" t="n">
        <v>13</v>
      </c>
      <c r="B34" s="14" t="n"/>
      <c r="C34" s="6" t="n"/>
      <c r="D34" s="6" t="n"/>
      <c r="E34" s="15" t="n"/>
      <c r="F34" s="6" t="n"/>
      <c r="G34" s="6" t="n"/>
      <c r="H34" s="6" t="n"/>
      <c r="I34" s="9">
        <f>IF(COUNTA(F34:H34)=0,"",IF(COUNTIF(F34:H34,"X")&gt;0,"Penyimpangan","Sesuai"))</f>
        <v/>
      </c>
      <c r="J34" s="6" t="n"/>
    </row>
    <row r="35">
      <c r="A35" s="9" t="n">
        <v>14</v>
      </c>
      <c r="B35" s="14" t="n"/>
      <c r="C35" s="6" t="n"/>
      <c r="D35" s="6" t="n"/>
      <c r="E35" s="15" t="n"/>
      <c r="F35" s="6" t="n"/>
      <c r="G35" s="6" t="n"/>
      <c r="H35" s="6" t="n"/>
      <c r="I35" s="9">
        <f>IF(COUNTA(F35:H35)=0,"",IF(COUNTIF(F35:H35,"X")&gt;0,"Penyimpangan","Sesuai"))</f>
        <v/>
      </c>
      <c r="J35" s="6" t="n"/>
    </row>
    <row r="36">
      <c r="A36" s="9" t="n">
        <v>15</v>
      </c>
      <c r="B36" s="14" t="n"/>
      <c r="C36" s="6" t="n"/>
      <c r="D36" s="6" t="n"/>
      <c r="E36" s="15" t="n"/>
      <c r="F36" s="6" t="n"/>
      <c r="G36" s="6" t="n"/>
      <c r="H36" s="6" t="n"/>
      <c r="I36" s="9">
        <f>IF(COUNTA(F36:H36)=0,"",IF(COUNTIF(F36:H36,"X")&gt;0,"Penyimpangan","Sesuai"))</f>
        <v/>
      </c>
      <c r="J36" s="6" t="n"/>
    </row>
    <row r="37">
      <c r="A37" s="9" t="n">
        <v>16</v>
      </c>
      <c r="B37" s="14" t="n"/>
      <c r="C37" s="6" t="n"/>
      <c r="D37" s="6" t="n"/>
      <c r="E37" s="15" t="n"/>
      <c r="F37" s="6" t="n"/>
      <c r="G37" s="6" t="n"/>
      <c r="H37" s="6" t="n"/>
      <c r="I37" s="9">
        <f>IF(COUNTA(F37:H37)=0,"",IF(COUNTIF(F37:H37,"X")&gt;0,"Penyimpangan","Sesuai"))</f>
        <v/>
      </c>
      <c r="J37" s="6" t="n"/>
    </row>
    <row r="38">
      <c r="A38" s="9" t="n">
        <v>17</v>
      </c>
      <c r="B38" s="14" t="n"/>
      <c r="C38" s="6" t="n"/>
      <c r="D38" s="6" t="n"/>
      <c r="E38" s="15" t="n"/>
      <c r="F38" s="6" t="n"/>
      <c r="G38" s="6" t="n"/>
      <c r="H38" s="6" t="n"/>
      <c r="I38" s="9">
        <f>IF(COUNTA(F38:H38)=0,"",IF(COUNTIF(F38:H38,"X")&gt;0,"Penyimpangan","Sesuai"))</f>
        <v/>
      </c>
      <c r="J38" s="6" t="n"/>
    </row>
    <row r="39">
      <c r="A39" s="9" t="n">
        <v>18</v>
      </c>
      <c r="B39" s="14" t="n"/>
      <c r="C39" s="6" t="n"/>
      <c r="D39" s="6" t="n"/>
      <c r="E39" s="15" t="n"/>
      <c r="F39" s="6" t="n"/>
      <c r="G39" s="6" t="n"/>
      <c r="H39" s="6" t="n"/>
      <c r="I39" s="9">
        <f>IF(COUNTA(F39:H39)=0,"",IF(COUNTIF(F39:H39,"X")&gt;0,"Penyimpangan","Sesuai"))</f>
        <v/>
      </c>
      <c r="J39" s="6" t="n"/>
    </row>
    <row r="40">
      <c r="A40" s="9" t="n">
        <v>19</v>
      </c>
      <c r="B40" s="14" t="n"/>
      <c r="C40" s="6" t="n"/>
      <c r="D40" s="6" t="n"/>
      <c r="E40" s="15" t="n"/>
      <c r="F40" s="6" t="n"/>
      <c r="G40" s="6" t="n"/>
      <c r="H40" s="6" t="n"/>
      <c r="I40" s="9">
        <f>IF(COUNTA(F40:H40)=0,"",IF(COUNTIF(F40:H40,"X")&gt;0,"Penyimpangan","Sesuai"))</f>
        <v/>
      </c>
      <c r="J40" s="6" t="n"/>
    </row>
    <row r="41">
      <c r="A41" s="9" t="n">
        <v>20</v>
      </c>
      <c r="B41" s="14" t="n"/>
      <c r="C41" s="6" t="n"/>
      <c r="D41" s="6" t="n"/>
      <c r="E41" s="15" t="n"/>
      <c r="F41" s="6" t="n"/>
      <c r="G41" s="6" t="n"/>
      <c r="H41" s="6" t="n"/>
      <c r="I41" s="9">
        <f>IF(COUNTA(F41:H41)=0,"",IF(COUNTIF(F41:H41,"X")&gt;0,"Penyimpangan","Sesuai"))</f>
        <v/>
      </c>
      <c r="J41" s="6" t="n"/>
    </row>
    <row r="42">
      <c r="A42" s="9" t="n">
        <v>21</v>
      </c>
      <c r="B42" s="14" t="n"/>
      <c r="C42" s="6" t="n"/>
      <c r="D42" s="6" t="n"/>
      <c r="E42" s="15" t="n"/>
      <c r="F42" s="6" t="n"/>
      <c r="G42" s="6" t="n"/>
      <c r="H42" s="6" t="n"/>
      <c r="I42" s="9">
        <f>IF(COUNTA(F42:H42)=0,"",IF(COUNTIF(F42:H42,"X")&gt;0,"Penyimpangan","Sesuai"))</f>
        <v/>
      </c>
      <c r="J42" s="6" t="n"/>
    </row>
    <row r="43">
      <c r="A43" s="9" t="n">
        <v>22</v>
      </c>
      <c r="B43" s="14" t="n"/>
      <c r="C43" s="6" t="n"/>
      <c r="D43" s="6" t="n"/>
      <c r="E43" s="15" t="n"/>
      <c r="F43" s="6" t="n"/>
      <c r="G43" s="6" t="n"/>
      <c r="H43" s="6" t="n"/>
      <c r="I43" s="9">
        <f>IF(COUNTA(F43:H43)=0,"",IF(COUNTIF(F43:H43,"X")&gt;0,"Penyimpangan","Sesuai"))</f>
        <v/>
      </c>
      <c r="J43" s="6" t="n"/>
    </row>
    <row r="44">
      <c r="A44" s="9" t="n">
        <v>23</v>
      </c>
      <c r="B44" s="14" t="n"/>
      <c r="C44" s="6" t="n"/>
      <c r="D44" s="6" t="n"/>
      <c r="E44" s="15" t="n"/>
      <c r="F44" s="6" t="n"/>
      <c r="G44" s="6" t="n"/>
      <c r="H44" s="6" t="n"/>
      <c r="I44" s="9">
        <f>IF(COUNTA(F44:H44)=0,"",IF(COUNTIF(F44:H44,"X")&gt;0,"Penyimpangan","Sesuai"))</f>
        <v/>
      </c>
      <c r="J44" s="6" t="n"/>
    </row>
    <row r="45">
      <c r="A45" s="9" t="n">
        <v>24</v>
      </c>
      <c r="B45" s="14" t="n"/>
      <c r="C45" s="6" t="n"/>
      <c r="D45" s="6" t="n"/>
      <c r="E45" s="15" t="n"/>
      <c r="F45" s="6" t="n"/>
      <c r="G45" s="6" t="n"/>
      <c r="H45" s="6" t="n"/>
      <c r="I45" s="9">
        <f>IF(COUNTA(F45:H45)=0,"",IF(COUNTIF(F45:H45,"X")&gt;0,"Penyimpangan","Sesuai"))</f>
        <v/>
      </c>
      <c r="J45" s="6" t="n"/>
    </row>
    <row r="46">
      <c r="A46" s="9" t="n">
        <v>25</v>
      </c>
      <c r="B46" s="14" t="n"/>
      <c r="C46" s="6" t="n"/>
      <c r="D46" s="6" t="n"/>
      <c r="E46" s="15" t="n"/>
      <c r="F46" s="6" t="n"/>
      <c r="G46" s="6" t="n"/>
      <c r="H46" s="6" t="n"/>
      <c r="I46" s="9">
        <f>IF(COUNTA(F46:H46)=0,"",IF(COUNTIF(F46:H46,"X")&gt;0,"Penyimpangan","Sesuai"))</f>
        <v/>
      </c>
      <c r="J46" s="6" t="n"/>
    </row>
    <row r="47">
      <c r="D47" s="16" t="inlineStr">
        <is>
          <t>Jumlah penyimpangan</t>
        </is>
      </c>
      <c r="E47" s="16">
        <f>COUNTIF(I22:I46,"Penyimpangan")</f>
        <v/>
      </c>
    </row>
    <row r="48">
      <c r="D48" s="16" t="inlineStr">
        <is>
          <t>Kesimpulan</t>
        </is>
      </c>
      <c r="E48" s="16">
        <f>IF(COUNTA(I22:I46)-COUNTBLANK(I22:I46)=0,"Belum diuji",IF(E47=0,"Efektif, dapat diandalkan","Tidak efektif, revisi CRA"))</f>
        <v/>
      </c>
      <c r="F48" s="17" t="n"/>
      <c r="G48" s="17" t="n"/>
      <c r="H48" s="17" t="n"/>
      <c r="I48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8:I48"/>
  </mergeCells>
  <dataValidations count="1">
    <dataValidation sqref="F22:H46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8" customWidth="1" min="8" max="8"/>
    <col width="14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Pembelian &amp; Utang</t>
        </is>
      </c>
      <c r="I2" s="3" t="inlineStr">
        <is>
          <t>Indeks KK</t>
        </is>
      </c>
      <c r="J2" s="4" t="inlineStr">
        <is>
          <t>B-6E.2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Pembelian di atas limit butuh persetujuan berjenjang</t>
        </is>
      </c>
    </row>
    <row r="8">
      <c r="A8" s="12" t="inlineStr">
        <is>
          <t>K2</t>
        </is>
      </c>
      <c r="B8" s="13" t="inlineStr">
        <is>
          <t>3-way match PO, penerimaan, tagihan</t>
        </is>
      </c>
    </row>
    <row r="9">
      <c r="A9" s="12" t="inlineStr">
        <is>
          <t>K3</t>
        </is>
      </c>
      <c r="B9" s="13" t="inlineStr">
        <is>
          <t>Perubahan data pemasok direview</t>
        </is>
      </c>
    </row>
    <row r="11">
      <c r="A11" s="7" t="inlineStr">
        <is>
          <t>Walkthrough (WT) SCOT</t>
        </is>
      </c>
    </row>
    <row r="12">
      <c r="A12" s="11" t="inlineStr">
        <is>
          <t>Telusuri satu transaksi SCOT ini dari awal sampai tercatat di LK; catat titik rawan salah saji (what can go wrong) dan kontrol kunci yang menanganinya.</t>
        </is>
      </c>
    </row>
    <row r="13" ht="30" customHeight="1">
      <c r="A13" s="8" t="inlineStr">
        <is>
          <t>Langkah</t>
        </is>
      </c>
      <c r="B13" s="8" t="inlineStr">
        <is>
          <t>Tanggal</t>
        </is>
      </c>
      <c r="C13" s="8" t="inlineStr">
        <is>
          <t>Dokumen</t>
        </is>
      </c>
      <c r="D13" s="8" t="inlineStr">
        <is>
          <t>Uraian dan Kontrol yang Diamati</t>
        </is>
      </c>
      <c r="E13" s="8" t="inlineStr">
        <is>
          <t>Kesimpulan</t>
        </is>
      </c>
      <c r="F13" s="8" t="inlineStr"/>
      <c r="G13" s="8" t="inlineStr"/>
      <c r="H13" s="8" t="inlineStr"/>
      <c r="I13" s="8" t="inlineStr"/>
      <c r="J13" s="8" t="inlineStr"/>
    </row>
    <row r="14">
      <c r="A14" s="9" t="n">
        <v>1</v>
      </c>
      <c r="B14" s="6" t="n"/>
      <c r="C14" s="6" t="n"/>
      <c r="D14" s="6" t="n"/>
      <c r="E14" s="6" t="n"/>
    </row>
    <row r="15">
      <c r="A15" s="9" t="n">
        <v>2</v>
      </c>
      <c r="B15" s="6" t="n"/>
      <c r="C15" s="6" t="n"/>
      <c r="D15" s="6" t="n"/>
      <c r="E15" s="6" t="n"/>
    </row>
    <row r="16">
      <c r="A16" s="9" t="n">
        <v>3</v>
      </c>
      <c r="B16" s="6" t="n"/>
      <c r="C16" s="6" t="n"/>
      <c r="D16" s="6" t="n"/>
      <c r="E16" s="6" t="n"/>
    </row>
    <row r="17">
      <c r="A17" s="9" t="n">
        <v>4</v>
      </c>
      <c r="B17" s="6" t="n"/>
      <c r="C17" s="6" t="n"/>
      <c r="D17" s="6" t="n"/>
      <c r="E17" s="6" t="n"/>
    </row>
    <row r="18">
      <c r="A18" s="9" t="n">
        <v>5</v>
      </c>
      <c r="B18" s="6" t="n"/>
      <c r="C18" s="6" t="n"/>
      <c r="D18" s="6" t="n"/>
      <c r="E18" s="6" t="n"/>
    </row>
    <row r="20">
      <c r="A20" s="7" t="inlineStr">
        <is>
          <t>Pengujian Pengendalian (25 Sampel)</t>
        </is>
      </c>
    </row>
    <row r="21" ht="30" customHeight="1">
      <c r="A21" s="8" t="inlineStr">
        <is>
          <t>No</t>
        </is>
      </c>
      <c r="B21" s="8" t="inlineStr">
        <is>
          <t>Tanggal</t>
        </is>
      </c>
      <c r="C21" s="8" t="inlineStr">
        <is>
          <t>No. Dokumen</t>
        </is>
      </c>
      <c r="D21" s="8" t="inlineStr">
        <is>
          <t>Uraian</t>
        </is>
      </c>
      <c r="E21" s="8" t="inlineStr">
        <is>
          <t>Nilai</t>
        </is>
      </c>
      <c r="F21" s="8" t="inlineStr">
        <is>
          <t>K1</t>
        </is>
      </c>
      <c r="G21" s="8" t="inlineStr">
        <is>
          <t>K2</t>
        </is>
      </c>
      <c r="H21" s="8" t="inlineStr">
        <is>
          <t>K3</t>
        </is>
      </c>
      <c r="I21" s="8" t="inlineStr">
        <is>
          <t>Hasil</t>
        </is>
      </c>
      <c r="J21" s="8" t="inlineStr">
        <is>
          <t>Keterangan</t>
        </is>
      </c>
    </row>
    <row r="22">
      <c r="A22" s="9" t="n">
        <v>1</v>
      </c>
      <c r="B22" s="14" t="n"/>
      <c r="C22" s="6" t="n"/>
      <c r="D22" s="6" t="n"/>
      <c r="E22" s="15" t="n"/>
      <c r="F22" s="6" t="n"/>
      <c r="G22" s="6" t="n"/>
      <c r="H22" s="6" t="n"/>
      <c r="I22" s="9">
        <f>IF(COUNTA(F22:H22)=0,"",IF(COUNTIF(F22:H22,"X")&gt;0,"Penyimpangan","Sesuai"))</f>
        <v/>
      </c>
      <c r="J22" s="6" t="n"/>
    </row>
    <row r="23">
      <c r="A23" s="9" t="n">
        <v>2</v>
      </c>
      <c r="B23" s="14" t="n"/>
      <c r="C23" s="6" t="n"/>
      <c r="D23" s="6" t="n"/>
      <c r="E23" s="15" t="n"/>
      <c r="F23" s="6" t="n"/>
      <c r="G23" s="6" t="n"/>
      <c r="H23" s="6" t="n"/>
      <c r="I23" s="9">
        <f>IF(COUNTA(F23:H23)=0,"",IF(COUNTIF(F23:H23,"X")&gt;0,"Penyimpangan","Sesuai"))</f>
        <v/>
      </c>
      <c r="J23" s="6" t="n"/>
    </row>
    <row r="24">
      <c r="A24" s="9" t="n">
        <v>3</v>
      </c>
      <c r="B24" s="14" t="n"/>
      <c r="C24" s="6" t="n"/>
      <c r="D24" s="6" t="n"/>
      <c r="E24" s="15" t="n"/>
      <c r="F24" s="6" t="n"/>
      <c r="G24" s="6" t="n"/>
      <c r="H24" s="6" t="n"/>
      <c r="I24" s="9">
        <f>IF(COUNTA(F24:H24)=0,"",IF(COUNTIF(F24:H24,"X")&gt;0,"Penyimpangan","Sesuai"))</f>
        <v/>
      </c>
      <c r="J24" s="6" t="n"/>
    </row>
    <row r="25">
      <c r="A25" s="9" t="n">
        <v>4</v>
      </c>
      <c r="B25" s="14" t="n"/>
      <c r="C25" s="6" t="n"/>
      <c r="D25" s="6" t="n"/>
      <c r="E25" s="15" t="n"/>
      <c r="F25" s="6" t="n"/>
      <c r="G25" s="6" t="n"/>
      <c r="H25" s="6" t="n"/>
      <c r="I25" s="9">
        <f>IF(COUNTA(F25:H25)=0,"",IF(COUNTIF(F25:H25,"X")&gt;0,"Penyimpangan","Sesuai"))</f>
        <v/>
      </c>
      <c r="J25" s="6" t="n"/>
    </row>
    <row r="26">
      <c r="A26" s="9" t="n">
        <v>5</v>
      </c>
      <c r="B26" s="14" t="n"/>
      <c r="C26" s="6" t="n"/>
      <c r="D26" s="6" t="n"/>
      <c r="E26" s="15" t="n"/>
      <c r="F26" s="6" t="n"/>
      <c r="G26" s="6" t="n"/>
      <c r="H26" s="6" t="n"/>
      <c r="I26" s="9">
        <f>IF(COUNTA(F26:H26)=0,"",IF(COUNTIF(F26:H26,"X")&gt;0,"Penyimpangan","Sesuai"))</f>
        <v/>
      </c>
      <c r="J26" s="6" t="n"/>
    </row>
    <row r="27">
      <c r="A27" s="9" t="n">
        <v>6</v>
      </c>
      <c r="B27" s="14" t="n"/>
      <c r="C27" s="6" t="n"/>
      <c r="D27" s="6" t="n"/>
      <c r="E27" s="15" t="n"/>
      <c r="F27" s="6" t="n"/>
      <c r="G27" s="6" t="n"/>
      <c r="H27" s="6" t="n"/>
      <c r="I27" s="9">
        <f>IF(COUNTA(F27:H27)=0,"",IF(COUNTIF(F27:H27,"X")&gt;0,"Penyimpangan","Sesuai"))</f>
        <v/>
      </c>
      <c r="J27" s="6" t="n"/>
    </row>
    <row r="28">
      <c r="A28" s="9" t="n">
        <v>7</v>
      </c>
      <c r="B28" s="14" t="n"/>
      <c r="C28" s="6" t="n"/>
      <c r="D28" s="6" t="n"/>
      <c r="E28" s="15" t="n"/>
      <c r="F28" s="6" t="n"/>
      <c r="G28" s="6" t="n"/>
      <c r="H28" s="6" t="n"/>
      <c r="I28" s="9">
        <f>IF(COUNTA(F28:H28)=0,"",IF(COUNTIF(F28:H28,"X")&gt;0,"Penyimpangan","Sesuai"))</f>
        <v/>
      </c>
      <c r="J28" s="6" t="n"/>
    </row>
    <row r="29">
      <c r="A29" s="9" t="n">
        <v>8</v>
      </c>
      <c r="B29" s="14" t="n"/>
      <c r="C29" s="6" t="n"/>
      <c r="D29" s="6" t="n"/>
      <c r="E29" s="15" t="n"/>
      <c r="F29" s="6" t="n"/>
      <c r="G29" s="6" t="n"/>
      <c r="H29" s="6" t="n"/>
      <c r="I29" s="9">
        <f>IF(COUNTA(F29:H29)=0,"",IF(COUNTIF(F29:H29,"X")&gt;0,"Penyimpangan","Sesuai"))</f>
        <v/>
      </c>
      <c r="J29" s="6" t="n"/>
    </row>
    <row r="30">
      <c r="A30" s="9" t="n">
        <v>9</v>
      </c>
      <c r="B30" s="14" t="n"/>
      <c r="C30" s="6" t="n"/>
      <c r="D30" s="6" t="n"/>
      <c r="E30" s="15" t="n"/>
      <c r="F30" s="6" t="n"/>
      <c r="G30" s="6" t="n"/>
      <c r="H30" s="6" t="n"/>
      <c r="I30" s="9">
        <f>IF(COUNTA(F30:H30)=0,"",IF(COUNTIF(F30:H30,"X")&gt;0,"Penyimpangan","Sesuai"))</f>
        <v/>
      </c>
      <c r="J30" s="6" t="n"/>
    </row>
    <row r="31">
      <c r="A31" s="9" t="n">
        <v>10</v>
      </c>
      <c r="B31" s="14" t="n"/>
      <c r="C31" s="6" t="n"/>
      <c r="D31" s="6" t="n"/>
      <c r="E31" s="15" t="n"/>
      <c r="F31" s="6" t="n"/>
      <c r="G31" s="6" t="n"/>
      <c r="H31" s="6" t="n"/>
      <c r="I31" s="9">
        <f>IF(COUNTA(F31:H31)=0,"",IF(COUNTIF(F31:H31,"X")&gt;0,"Penyimpangan","Sesuai"))</f>
        <v/>
      </c>
      <c r="J31" s="6" t="n"/>
    </row>
    <row r="32">
      <c r="A32" s="9" t="n">
        <v>11</v>
      </c>
      <c r="B32" s="14" t="n"/>
      <c r="C32" s="6" t="n"/>
      <c r="D32" s="6" t="n"/>
      <c r="E32" s="15" t="n"/>
      <c r="F32" s="6" t="n"/>
      <c r="G32" s="6" t="n"/>
      <c r="H32" s="6" t="n"/>
      <c r="I32" s="9">
        <f>IF(COUNTA(F32:H32)=0,"",IF(COUNTIF(F32:H32,"X")&gt;0,"Penyimpangan","Sesuai"))</f>
        <v/>
      </c>
      <c r="J32" s="6" t="n"/>
    </row>
    <row r="33">
      <c r="A33" s="9" t="n">
        <v>12</v>
      </c>
      <c r="B33" s="14" t="n"/>
      <c r="C33" s="6" t="n"/>
      <c r="D33" s="6" t="n"/>
      <c r="E33" s="15" t="n"/>
      <c r="F33" s="6" t="n"/>
      <c r="G33" s="6" t="n"/>
      <c r="H33" s="6" t="n"/>
      <c r="I33" s="9">
        <f>IF(COUNTA(F33:H33)=0,"",IF(COUNTIF(F33:H33,"X")&gt;0,"Penyimpangan","Sesuai"))</f>
        <v/>
      </c>
      <c r="J33" s="6" t="n"/>
    </row>
    <row r="34">
      <c r="A34" s="9" t="n">
        <v>13</v>
      </c>
      <c r="B34" s="14" t="n"/>
      <c r="C34" s="6" t="n"/>
      <c r="D34" s="6" t="n"/>
      <c r="E34" s="15" t="n"/>
      <c r="F34" s="6" t="n"/>
      <c r="G34" s="6" t="n"/>
      <c r="H34" s="6" t="n"/>
      <c r="I34" s="9">
        <f>IF(COUNTA(F34:H34)=0,"",IF(COUNTIF(F34:H34,"X")&gt;0,"Penyimpangan","Sesuai"))</f>
        <v/>
      </c>
      <c r="J34" s="6" t="n"/>
    </row>
    <row r="35">
      <c r="A35" s="9" t="n">
        <v>14</v>
      </c>
      <c r="B35" s="14" t="n"/>
      <c r="C35" s="6" t="n"/>
      <c r="D35" s="6" t="n"/>
      <c r="E35" s="15" t="n"/>
      <c r="F35" s="6" t="n"/>
      <c r="G35" s="6" t="n"/>
      <c r="H35" s="6" t="n"/>
      <c r="I35" s="9">
        <f>IF(COUNTA(F35:H35)=0,"",IF(COUNTIF(F35:H35,"X")&gt;0,"Penyimpangan","Sesuai"))</f>
        <v/>
      </c>
      <c r="J35" s="6" t="n"/>
    </row>
    <row r="36">
      <c r="A36" s="9" t="n">
        <v>15</v>
      </c>
      <c r="B36" s="14" t="n"/>
      <c r="C36" s="6" t="n"/>
      <c r="D36" s="6" t="n"/>
      <c r="E36" s="15" t="n"/>
      <c r="F36" s="6" t="n"/>
      <c r="G36" s="6" t="n"/>
      <c r="H36" s="6" t="n"/>
      <c r="I36" s="9">
        <f>IF(COUNTA(F36:H36)=0,"",IF(COUNTIF(F36:H36,"X")&gt;0,"Penyimpangan","Sesuai"))</f>
        <v/>
      </c>
      <c r="J36" s="6" t="n"/>
    </row>
    <row r="37">
      <c r="A37" s="9" t="n">
        <v>16</v>
      </c>
      <c r="B37" s="14" t="n"/>
      <c r="C37" s="6" t="n"/>
      <c r="D37" s="6" t="n"/>
      <c r="E37" s="15" t="n"/>
      <c r="F37" s="6" t="n"/>
      <c r="G37" s="6" t="n"/>
      <c r="H37" s="6" t="n"/>
      <c r="I37" s="9">
        <f>IF(COUNTA(F37:H37)=0,"",IF(COUNTIF(F37:H37,"X")&gt;0,"Penyimpangan","Sesuai"))</f>
        <v/>
      </c>
      <c r="J37" s="6" t="n"/>
    </row>
    <row r="38">
      <c r="A38" s="9" t="n">
        <v>17</v>
      </c>
      <c r="B38" s="14" t="n"/>
      <c r="C38" s="6" t="n"/>
      <c r="D38" s="6" t="n"/>
      <c r="E38" s="15" t="n"/>
      <c r="F38" s="6" t="n"/>
      <c r="G38" s="6" t="n"/>
      <c r="H38" s="6" t="n"/>
      <c r="I38" s="9">
        <f>IF(COUNTA(F38:H38)=0,"",IF(COUNTIF(F38:H38,"X")&gt;0,"Penyimpangan","Sesuai"))</f>
        <v/>
      </c>
      <c r="J38" s="6" t="n"/>
    </row>
    <row r="39">
      <c r="A39" s="9" t="n">
        <v>18</v>
      </c>
      <c r="B39" s="14" t="n"/>
      <c r="C39" s="6" t="n"/>
      <c r="D39" s="6" t="n"/>
      <c r="E39" s="15" t="n"/>
      <c r="F39" s="6" t="n"/>
      <c r="G39" s="6" t="n"/>
      <c r="H39" s="6" t="n"/>
      <c r="I39" s="9">
        <f>IF(COUNTA(F39:H39)=0,"",IF(COUNTIF(F39:H39,"X")&gt;0,"Penyimpangan","Sesuai"))</f>
        <v/>
      </c>
      <c r="J39" s="6" t="n"/>
    </row>
    <row r="40">
      <c r="A40" s="9" t="n">
        <v>19</v>
      </c>
      <c r="B40" s="14" t="n"/>
      <c r="C40" s="6" t="n"/>
      <c r="D40" s="6" t="n"/>
      <c r="E40" s="15" t="n"/>
      <c r="F40" s="6" t="n"/>
      <c r="G40" s="6" t="n"/>
      <c r="H40" s="6" t="n"/>
      <c r="I40" s="9">
        <f>IF(COUNTA(F40:H40)=0,"",IF(COUNTIF(F40:H40,"X")&gt;0,"Penyimpangan","Sesuai"))</f>
        <v/>
      </c>
      <c r="J40" s="6" t="n"/>
    </row>
    <row r="41">
      <c r="A41" s="9" t="n">
        <v>20</v>
      </c>
      <c r="B41" s="14" t="n"/>
      <c r="C41" s="6" t="n"/>
      <c r="D41" s="6" t="n"/>
      <c r="E41" s="15" t="n"/>
      <c r="F41" s="6" t="n"/>
      <c r="G41" s="6" t="n"/>
      <c r="H41" s="6" t="n"/>
      <c r="I41" s="9">
        <f>IF(COUNTA(F41:H41)=0,"",IF(COUNTIF(F41:H41,"X")&gt;0,"Penyimpangan","Sesuai"))</f>
        <v/>
      </c>
      <c r="J41" s="6" t="n"/>
    </row>
    <row r="42">
      <c r="A42" s="9" t="n">
        <v>21</v>
      </c>
      <c r="B42" s="14" t="n"/>
      <c r="C42" s="6" t="n"/>
      <c r="D42" s="6" t="n"/>
      <c r="E42" s="15" t="n"/>
      <c r="F42" s="6" t="n"/>
      <c r="G42" s="6" t="n"/>
      <c r="H42" s="6" t="n"/>
      <c r="I42" s="9">
        <f>IF(COUNTA(F42:H42)=0,"",IF(COUNTIF(F42:H42,"X")&gt;0,"Penyimpangan","Sesuai"))</f>
        <v/>
      </c>
      <c r="J42" s="6" t="n"/>
    </row>
    <row r="43">
      <c r="A43" s="9" t="n">
        <v>22</v>
      </c>
      <c r="B43" s="14" t="n"/>
      <c r="C43" s="6" t="n"/>
      <c r="D43" s="6" t="n"/>
      <c r="E43" s="15" t="n"/>
      <c r="F43" s="6" t="n"/>
      <c r="G43" s="6" t="n"/>
      <c r="H43" s="6" t="n"/>
      <c r="I43" s="9">
        <f>IF(COUNTA(F43:H43)=0,"",IF(COUNTIF(F43:H43,"X")&gt;0,"Penyimpangan","Sesuai"))</f>
        <v/>
      </c>
      <c r="J43" s="6" t="n"/>
    </row>
    <row r="44">
      <c r="A44" s="9" t="n">
        <v>23</v>
      </c>
      <c r="B44" s="14" t="n"/>
      <c r="C44" s="6" t="n"/>
      <c r="D44" s="6" t="n"/>
      <c r="E44" s="15" t="n"/>
      <c r="F44" s="6" t="n"/>
      <c r="G44" s="6" t="n"/>
      <c r="H44" s="6" t="n"/>
      <c r="I44" s="9">
        <f>IF(COUNTA(F44:H44)=0,"",IF(COUNTIF(F44:H44,"X")&gt;0,"Penyimpangan","Sesuai"))</f>
        <v/>
      </c>
      <c r="J44" s="6" t="n"/>
    </row>
    <row r="45">
      <c r="A45" s="9" t="n">
        <v>24</v>
      </c>
      <c r="B45" s="14" t="n"/>
      <c r="C45" s="6" t="n"/>
      <c r="D45" s="6" t="n"/>
      <c r="E45" s="15" t="n"/>
      <c r="F45" s="6" t="n"/>
      <c r="G45" s="6" t="n"/>
      <c r="H45" s="6" t="n"/>
      <c r="I45" s="9">
        <f>IF(COUNTA(F45:H45)=0,"",IF(COUNTIF(F45:H45,"X")&gt;0,"Penyimpangan","Sesuai"))</f>
        <v/>
      </c>
      <c r="J45" s="6" t="n"/>
    </row>
    <row r="46">
      <c r="A46" s="9" t="n">
        <v>25</v>
      </c>
      <c r="B46" s="14" t="n"/>
      <c r="C46" s="6" t="n"/>
      <c r="D46" s="6" t="n"/>
      <c r="E46" s="15" t="n"/>
      <c r="F46" s="6" t="n"/>
      <c r="G46" s="6" t="n"/>
      <c r="H46" s="6" t="n"/>
      <c r="I46" s="9">
        <f>IF(COUNTA(F46:H46)=0,"",IF(COUNTIF(F46:H46,"X")&gt;0,"Penyimpangan","Sesuai"))</f>
        <v/>
      </c>
      <c r="J46" s="6" t="n"/>
    </row>
    <row r="47">
      <c r="D47" s="16" t="inlineStr">
        <is>
          <t>Jumlah penyimpangan</t>
        </is>
      </c>
      <c r="E47" s="16">
        <f>COUNTIF(I22:I46,"Penyimpangan")</f>
        <v/>
      </c>
    </row>
    <row r="48">
      <c r="D48" s="16" t="inlineStr">
        <is>
          <t>Kesimpulan</t>
        </is>
      </c>
      <c r="E48" s="16">
        <f>IF(COUNTA(I22:I46)-COUNTBLANK(I22:I46)=0,"Belum diuji",IF(E47=0,"Efektif, dapat diandalkan","Tidak efektif, revisi CRA"))</f>
        <v/>
      </c>
      <c r="F48" s="17" t="n"/>
      <c r="G48" s="17" t="n"/>
      <c r="H48" s="17" t="n"/>
      <c r="I48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8:I48"/>
  </mergeCells>
  <dataValidations count="1">
    <dataValidation sqref="F22:H46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8" customWidth="1" min="8" max="8"/>
    <col width="14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Produksi &amp; Persediaan</t>
        </is>
      </c>
      <c r="I2" s="3" t="inlineStr">
        <is>
          <t>Indeks KK</t>
        </is>
      </c>
      <c r="J2" s="4" t="inlineStr">
        <is>
          <t>B-6E.3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Stock opname bulanan direkonsiliasi ke ERP</t>
        </is>
      </c>
    </row>
    <row r="8">
      <c r="A8" s="12" t="inlineStr">
        <is>
          <t>K2</t>
        </is>
      </c>
      <c r="B8" s="13" t="inlineStr">
        <is>
          <t>Standard cost diperbarui per kuartal</t>
        </is>
      </c>
    </row>
    <row r="9">
      <c r="A9" s="12" t="inlineStr">
        <is>
          <t>K3</t>
        </is>
      </c>
      <c r="B9" s="13" t="inlineStr">
        <is>
          <t>Pengeluaran bahan baku memakai bon resmi</t>
        </is>
      </c>
    </row>
    <row r="11">
      <c r="A11" s="7" t="inlineStr">
        <is>
          <t>Walkthrough (WT) SCOT</t>
        </is>
      </c>
    </row>
    <row r="12">
      <c r="A12" s="11" t="inlineStr">
        <is>
          <t>Telusuri satu transaksi SCOT ini dari awal sampai tercatat di LK; catat titik rawan salah saji (what can go wrong) dan kontrol kunci yang menanganinya.</t>
        </is>
      </c>
    </row>
    <row r="13" ht="30" customHeight="1">
      <c r="A13" s="8" t="inlineStr">
        <is>
          <t>Langkah</t>
        </is>
      </c>
      <c r="B13" s="8" t="inlineStr">
        <is>
          <t>Tanggal</t>
        </is>
      </c>
      <c r="C13" s="8" t="inlineStr">
        <is>
          <t>Dokumen</t>
        </is>
      </c>
      <c r="D13" s="8" t="inlineStr">
        <is>
          <t>Uraian dan Kontrol yang Diamati</t>
        </is>
      </c>
      <c r="E13" s="8" t="inlineStr">
        <is>
          <t>Kesimpulan</t>
        </is>
      </c>
      <c r="F13" s="8" t="inlineStr"/>
      <c r="G13" s="8" t="inlineStr"/>
      <c r="H13" s="8" t="inlineStr"/>
      <c r="I13" s="8" t="inlineStr"/>
      <c r="J13" s="8" t="inlineStr"/>
    </row>
    <row r="14">
      <c r="A14" s="9" t="n">
        <v>1</v>
      </c>
      <c r="B14" s="6" t="n"/>
      <c r="C14" s="6" t="n"/>
      <c r="D14" s="6" t="n"/>
      <c r="E14" s="6" t="n"/>
    </row>
    <row r="15">
      <c r="A15" s="9" t="n">
        <v>2</v>
      </c>
      <c r="B15" s="6" t="n"/>
      <c r="C15" s="6" t="n"/>
      <c r="D15" s="6" t="n"/>
      <c r="E15" s="6" t="n"/>
    </row>
    <row r="16">
      <c r="A16" s="9" t="n">
        <v>3</v>
      </c>
      <c r="B16" s="6" t="n"/>
      <c r="C16" s="6" t="n"/>
      <c r="D16" s="6" t="n"/>
      <c r="E16" s="6" t="n"/>
    </row>
    <row r="17">
      <c r="A17" s="9" t="n">
        <v>4</v>
      </c>
      <c r="B17" s="6" t="n"/>
      <c r="C17" s="6" t="n"/>
      <c r="D17" s="6" t="n"/>
      <c r="E17" s="6" t="n"/>
    </row>
    <row r="18">
      <c r="A18" s="9" t="n">
        <v>5</v>
      </c>
      <c r="B18" s="6" t="n"/>
      <c r="C18" s="6" t="n"/>
      <c r="D18" s="6" t="n"/>
      <c r="E18" s="6" t="n"/>
    </row>
    <row r="20">
      <c r="A20" s="7" t="inlineStr">
        <is>
          <t>Pengujian Pengendalian (25 Sampel)</t>
        </is>
      </c>
    </row>
    <row r="21" ht="30" customHeight="1">
      <c r="A21" s="8" t="inlineStr">
        <is>
          <t>No</t>
        </is>
      </c>
      <c r="B21" s="8" t="inlineStr">
        <is>
          <t>Tanggal</t>
        </is>
      </c>
      <c r="C21" s="8" t="inlineStr">
        <is>
          <t>No. Dokumen</t>
        </is>
      </c>
      <c r="D21" s="8" t="inlineStr">
        <is>
          <t>Uraian</t>
        </is>
      </c>
      <c r="E21" s="8" t="inlineStr">
        <is>
          <t>Nilai</t>
        </is>
      </c>
      <c r="F21" s="8" t="inlineStr">
        <is>
          <t>K1</t>
        </is>
      </c>
      <c r="G21" s="8" t="inlineStr">
        <is>
          <t>K2</t>
        </is>
      </c>
      <c r="H21" s="8" t="inlineStr">
        <is>
          <t>K3</t>
        </is>
      </c>
      <c r="I21" s="8" t="inlineStr">
        <is>
          <t>Hasil</t>
        </is>
      </c>
      <c r="J21" s="8" t="inlineStr">
        <is>
          <t>Keterangan</t>
        </is>
      </c>
    </row>
    <row r="22">
      <c r="A22" s="9" t="n">
        <v>1</v>
      </c>
      <c r="B22" s="14" t="n"/>
      <c r="C22" s="6" t="n"/>
      <c r="D22" s="6" t="n"/>
      <c r="E22" s="15" t="n"/>
      <c r="F22" s="6" t="n"/>
      <c r="G22" s="6" t="n"/>
      <c r="H22" s="6" t="n"/>
      <c r="I22" s="9">
        <f>IF(COUNTA(F22:H22)=0,"",IF(COUNTIF(F22:H22,"X")&gt;0,"Penyimpangan","Sesuai"))</f>
        <v/>
      </c>
      <c r="J22" s="6" t="n"/>
    </row>
    <row r="23">
      <c r="A23" s="9" t="n">
        <v>2</v>
      </c>
      <c r="B23" s="14" t="n"/>
      <c r="C23" s="6" t="n"/>
      <c r="D23" s="6" t="n"/>
      <c r="E23" s="15" t="n"/>
      <c r="F23" s="6" t="n"/>
      <c r="G23" s="6" t="n"/>
      <c r="H23" s="6" t="n"/>
      <c r="I23" s="9">
        <f>IF(COUNTA(F23:H23)=0,"",IF(COUNTIF(F23:H23,"X")&gt;0,"Penyimpangan","Sesuai"))</f>
        <v/>
      </c>
      <c r="J23" s="6" t="n"/>
    </row>
    <row r="24">
      <c r="A24" s="9" t="n">
        <v>3</v>
      </c>
      <c r="B24" s="14" t="n"/>
      <c r="C24" s="6" t="n"/>
      <c r="D24" s="6" t="n"/>
      <c r="E24" s="15" t="n"/>
      <c r="F24" s="6" t="n"/>
      <c r="G24" s="6" t="n"/>
      <c r="H24" s="6" t="n"/>
      <c r="I24" s="9">
        <f>IF(COUNTA(F24:H24)=0,"",IF(COUNTIF(F24:H24,"X")&gt;0,"Penyimpangan","Sesuai"))</f>
        <v/>
      </c>
      <c r="J24" s="6" t="n"/>
    </row>
    <row r="25">
      <c r="A25" s="9" t="n">
        <v>4</v>
      </c>
      <c r="B25" s="14" t="n"/>
      <c r="C25" s="6" t="n"/>
      <c r="D25" s="6" t="n"/>
      <c r="E25" s="15" t="n"/>
      <c r="F25" s="6" t="n"/>
      <c r="G25" s="6" t="n"/>
      <c r="H25" s="6" t="n"/>
      <c r="I25" s="9">
        <f>IF(COUNTA(F25:H25)=0,"",IF(COUNTIF(F25:H25,"X")&gt;0,"Penyimpangan","Sesuai"))</f>
        <v/>
      </c>
      <c r="J25" s="6" t="n"/>
    </row>
    <row r="26">
      <c r="A26" s="9" t="n">
        <v>5</v>
      </c>
      <c r="B26" s="14" t="n"/>
      <c r="C26" s="6" t="n"/>
      <c r="D26" s="6" t="n"/>
      <c r="E26" s="15" t="n"/>
      <c r="F26" s="6" t="n"/>
      <c r="G26" s="6" t="n"/>
      <c r="H26" s="6" t="n"/>
      <c r="I26" s="9">
        <f>IF(COUNTA(F26:H26)=0,"",IF(COUNTIF(F26:H26,"X")&gt;0,"Penyimpangan","Sesuai"))</f>
        <v/>
      </c>
      <c r="J26" s="6" t="n"/>
    </row>
    <row r="27">
      <c r="A27" s="9" t="n">
        <v>6</v>
      </c>
      <c r="B27" s="14" t="n"/>
      <c r="C27" s="6" t="n"/>
      <c r="D27" s="6" t="n"/>
      <c r="E27" s="15" t="n"/>
      <c r="F27" s="6" t="n"/>
      <c r="G27" s="6" t="n"/>
      <c r="H27" s="6" t="n"/>
      <c r="I27" s="9">
        <f>IF(COUNTA(F27:H27)=0,"",IF(COUNTIF(F27:H27,"X")&gt;0,"Penyimpangan","Sesuai"))</f>
        <v/>
      </c>
      <c r="J27" s="6" t="n"/>
    </row>
    <row r="28">
      <c r="A28" s="9" t="n">
        <v>7</v>
      </c>
      <c r="B28" s="14" t="n"/>
      <c r="C28" s="6" t="n"/>
      <c r="D28" s="6" t="n"/>
      <c r="E28" s="15" t="n"/>
      <c r="F28" s="6" t="n"/>
      <c r="G28" s="6" t="n"/>
      <c r="H28" s="6" t="n"/>
      <c r="I28" s="9">
        <f>IF(COUNTA(F28:H28)=0,"",IF(COUNTIF(F28:H28,"X")&gt;0,"Penyimpangan","Sesuai"))</f>
        <v/>
      </c>
      <c r="J28" s="6" t="n"/>
    </row>
    <row r="29">
      <c r="A29" s="9" t="n">
        <v>8</v>
      </c>
      <c r="B29" s="14" t="n"/>
      <c r="C29" s="6" t="n"/>
      <c r="D29" s="6" t="n"/>
      <c r="E29" s="15" t="n"/>
      <c r="F29" s="6" t="n"/>
      <c r="G29" s="6" t="n"/>
      <c r="H29" s="6" t="n"/>
      <c r="I29" s="9">
        <f>IF(COUNTA(F29:H29)=0,"",IF(COUNTIF(F29:H29,"X")&gt;0,"Penyimpangan","Sesuai"))</f>
        <v/>
      </c>
      <c r="J29" s="6" t="n"/>
    </row>
    <row r="30">
      <c r="A30" s="9" t="n">
        <v>9</v>
      </c>
      <c r="B30" s="14" t="n"/>
      <c r="C30" s="6" t="n"/>
      <c r="D30" s="6" t="n"/>
      <c r="E30" s="15" t="n"/>
      <c r="F30" s="6" t="n"/>
      <c r="G30" s="6" t="n"/>
      <c r="H30" s="6" t="n"/>
      <c r="I30" s="9">
        <f>IF(COUNTA(F30:H30)=0,"",IF(COUNTIF(F30:H30,"X")&gt;0,"Penyimpangan","Sesuai"))</f>
        <v/>
      </c>
      <c r="J30" s="6" t="n"/>
    </row>
    <row r="31">
      <c r="A31" s="9" t="n">
        <v>10</v>
      </c>
      <c r="B31" s="14" t="n"/>
      <c r="C31" s="6" t="n"/>
      <c r="D31" s="6" t="n"/>
      <c r="E31" s="15" t="n"/>
      <c r="F31" s="6" t="n"/>
      <c r="G31" s="6" t="n"/>
      <c r="H31" s="6" t="n"/>
      <c r="I31" s="9">
        <f>IF(COUNTA(F31:H31)=0,"",IF(COUNTIF(F31:H31,"X")&gt;0,"Penyimpangan","Sesuai"))</f>
        <v/>
      </c>
      <c r="J31" s="6" t="n"/>
    </row>
    <row r="32">
      <c r="A32" s="9" t="n">
        <v>11</v>
      </c>
      <c r="B32" s="14" t="n"/>
      <c r="C32" s="6" t="n"/>
      <c r="D32" s="6" t="n"/>
      <c r="E32" s="15" t="n"/>
      <c r="F32" s="6" t="n"/>
      <c r="G32" s="6" t="n"/>
      <c r="H32" s="6" t="n"/>
      <c r="I32" s="9">
        <f>IF(COUNTA(F32:H32)=0,"",IF(COUNTIF(F32:H32,"X")&gt;0,"Penyimpangan","Sesuai"))</f>
        <v/>
      </c>
      <c r="J32" s="6" t="n"/>
    </row>
    <row r="33">
      <c r="A33" s="9" t="n">
        <v>12</v>
      </c>
      <c r="B33" s="14" t="n"/>
      <c r="C33" s="6" t="n"/>
      <c r="D33" s="6" t="n"/>
      <c r="E33" s="15" t="n"/>
      <c r="F33" s="6" t="n"/>
      <c r="G33" s="6" t="n"/>
      <c r="H33" s="6" t="n"/>
      <c r="I33" s="9">
        <f>IF(COUNTA(F33:H33)=0,"",IF(COUNTIF(F33:H33,"X")&gt;0,"Penyimpangan","Sesuai"))</f>
        <v/>
      </c>
      <c r="J33" s="6" t="n"/>
    </row>
    <row r="34">
      <c r="A34" s="9" t="n">
        <v>13</v>
      </c>
      <c r="B34" s="14" t="n"/>
      <c r="C34" s="6" t="n"/>
      <c r="D34" s="6" t="n"/>
      <c r="E34" s="15" t="n"/>
      <c r="F34" s="6" t="n"/>
      <c r="G34" s="6" t="n"/>
      <c r="H34" s="6" t="n"/>
      <c r="I34" s="9">
        <f>IF(COUNTA(F34:H34)=0,"",IF(COUNTIF(F34:H34,"X")&gt;0,"Penyimpangan","Sesuai"))</f>
        <v/>
      </c>
      <c r="J34" s="6" t="n"/>
    </row>
    <row r="35">
      <c r="A35" s="9" t="n">
        <v>14</v>
      </c>
      <c r="B35" s="14" t="n"/>
      <c r="C35" s="6" t="n"/>
      <c r="D35" s="6" t="n"/>
      <c r="E35" s="15" t="n"/>
      <c r="F35" s="6" t="n"/>
      <c r="G35" s="6" t="n"/>
      <c r="H35" s="6" t="n"/>
      <c r="I35" s="9">
        <f>IF(COUNTA(F35:H35)=0,"",IF(COUNTIF(F35:H35,"X")&gt;0,"Penyimpangan","Sesuai"))</f>
        <v/>
      </c>
      <c r="J35" s="6" t="n"/>
    </row>
    <row r="36">
      <c r="A36" s="9" t="n">
        <v>15</v>
      </c>
      <c r="B36" s="14" t="n"/>
      <c r="C36" s="6" t="n"/>
      <c r="D36" s="6" t="n"/>
      <c r="E36" s="15" t="n"/>
      <c r="F36" s="6" t="n"/>
      <c r="G36" s="6" t="n"/>
      <c r="H36" s="6" t="n"/>
      <c r="I36" s="9">
        <f>IF(COUNTA(F36:H36)=0,"",IF(COUNTIF(F36:H36,"X")&gt;0,"Penyimpangan","Sesuai"))</f>
        <v/>
      </c>
      <c r="J36" s="6" t="n"/>
    </row>
    <row r="37">
      <c r="A37" s="9" t="n">
        <v>16</v>
      </c>
      <c r="B37" s="14" t="n"/>
      <c r="C37" s="6" t="n"/>
      <c r="D37" s="6" t="n"/>
      <c r="E37" s="15" t="n"/>
      <c r="F37" s="6" t="n"/>
      <c r="G37" s="6" t="n"/>
      <c r="H37" s="6" t="n"/>
      <c r="I37" s="9">
        <f>IF(COUNTA(F37:H37)=0,"",IF(COUNTIF(F37:H37,"X")&gt;0,"Penyimpangan","Sesuai"))</f>
        <v/>
      </c>
      <c r="J37" s="6" t="n"/>
    </row>
    <row r="38">
      <c r="A38" s="9" t="n">
        <v>17</v>
      </c>
      <c r="B38" s="14" t="n"/>
      <c r="C38" s="6" t="n"/>
      <c r="D38" s="6" t="n"/>
      <c r="E38" s="15" t="n"/>
      <c r="F38" s="6" t="n"/>
      <c r="G38" s="6" t="n"/>
      <c r="H38" s="6" t="n"/>
      <c r="I38" s="9">
        <f>IF(COUNTA(F38:H38)=0,"",IF(COUNTIF(F38:H38,"X")&gt;0,"Penyimpangan","Sesuai"))</f>
        <v/>
      </c>
      <c r="J38" s="6" t="n"/>
    </row>
    <row r="39">
      <c r="A39" s="9" t="n">
        <v>18</v>
      </c>
      <c r="B39" s="14" t="n"/>
      <c r="C39" s="6" t="n"/>
      <c r="D39" s="6" t="n"/>
      <c r="E39" s="15" t="n"/>
      <c r="F39" s="6" t="n"/>
      <c r="G39" s="6" t="n"/>
      <c r="H39" s="6" t="n"/>
      <c r="I39" s="9">
        <f>IF(COUNTA(F39:H39)=0,"",IF(COUNTIF(F39:H39,"X")&gt;0,"Penyimpangan","Sesuai"))</f>
        <v/>
      </c>
      <c r="J39" s="6" t="n"/>
    </row>
    <row r="40">
      <c r="A40" s="9" t="n">
        <v>19</v>
      </c>
      <c r="B40" s="14" t="n"/>
      <c r="C40" s="6" t="n"/>
      <c r="D40" s="6" t="n"/>
      <c r="E40" s="15" t="n"/>
      <c r="F40" s="6" t="n"/>
      <c r="G40" s="6" t="n"/>
      <c r="H40" s="6" t="n"/>
      <c r="I40" s="9">
        <f>IF(COUNTA(F40:H40)=0,"",IF(COUNTIF(F40:H40,"X")&gt;0,"Penyimpangan","Sesuai"))</f>
        <v/>
      </c>
      <c r="J40" s="6" t="n"/>
    </row>
    <row r="41">
      <c r="A41" s="9" t="n">
        <v>20</v>
      </c>
      <c r="B41" s="14" t="n"/>
      <c r="C41" s="6" t="n"/>
      <c r="D41" s="6" t="n"/>
      <c r="E41" s="15" t="n"/>
      <c r="F41" s="6" t="n"/>
      <c r="G41" s="6" t="n"/>
      <c r="H41" s="6" t="n"/>
      <c r="I41" s="9">
        <f>IF(COUNTA(F41:H41)=0,"",IF(COUNTIF(F41:H41,"X")&gt;0,"Penyimpangan","Sesuai"))</f>
        <v/>
      </c>
      <c r="J41" s="6" t="n"/>
    </row>
    <row r="42">
      <c r="A42" s="9" t="n">
        <v>21</v>
      </c>
      <c r="B42" s="14" t="n"/>
      <c r="C42" s="6" t="n"/>
      <c r="D42" s="6" t="n"/>
      <c r="E42" s="15" t="n"/>
      <c r="F42" s="6" t="n"/>
      <c r="G42" s="6" t="n"/>
      <c r="H42" s="6" t="n"/>
      <c r="I42" s="9">
        <f>IF(COUNTA(F42:H42)=0,"",IF(COUNTIF(F42:H42,"X")&gt;0,"Penyimpangan","Sesuai"))</f>
        <v/>
      </c>
      <c r="J42" s="6" t="n"/>
    </row>
    <row r="43">
      <c r="A43" s="9" t="n">
        <v>22</v>
      </c>
      <c r="B43" s="14" t="n"/>
      <c r="C43" s="6" t="n"/>
      <c r="D43" s="6" t="n"/>
      <c r="E43" s="15" t="n"/>
      <c r="F43" s="6" t="n"/>
      <c r="G43" s="6" t="n"/>
      <c r="H43" s="6" t="n"/>
      <c r="I43" s="9">
        <f>IF(COUNTA(F43:H43)=0,"",IF(COUNTIF(F43:H43,"X")&gt;0,"Penyimpangan","Sesuai"))</f>
        <v/>
      </c>
      <c r="J43" s="6" t="n"/>
    </row>
    <row r="44">
      <c r="A44" s="9" t="n">
        <v>23</v>
      </c>
      <c r="B44" s="14" t="n"/>
      <c r="C44" s="6" t="n"/>
      <c r="D44" s="6" t="n"/>
      <c r="E44" s="15" t="n"/>
      <c r="F44" s="6" t="n"/>
      <c r="G44" s="6" t="n"/>
      <c r="H44" s="6" t="n"/>
      <c r="I44" s="9">
        <f>IF(COUNTA(F44:H44)=0,"",IF(COUNTIF(F44:H44,"X")&gt;0,"Penyimpangan","Sesuai"))</f>
        <v/>
      </c>
      <c r="J44" s="6" t="n"/>
    </row>
    <row r="45">
      <c r="A45" s="9" t="n">
        <v>24</v>
      </c>
      <c r="B45" s="14" t="n"/>
      <c r="C45" s="6" t="n"/>
      <c r="D45" s="6" t="n"/>
      <c r="E45" s="15" t="n"/>
      <c r="F45" s="6" t="n"/>
      <c r="G45" s="6" t="n"/>
      <c r="H45" s="6" t="n"/>
      <c r="I45" s="9">
        <f>IF(COUNTA(F45:H45)=0,"",IF(COUNTIF(F45:H45,"X")&gt;0,"Penyimpangan","Sesuai"))</f>
        <v/>
      </c>
      <c r="J45" s="6" t="n"/>
    </row>
    <row r="46">
      <c r="A46" s="9" t="n">
        <v>25</v>
      </c>
      <c r="B46" s="14" t="n"/>
      <c r="C46" s="6" t="n"/>
      <c r="D46" s="6" t="n"/>
      <c r="E46" s="15" t="n"/>
      <c r="F46" s="6" t="n"/>
      <c r="G46" s="6" t="n"/>
      <c r="H46" s="6" t="n"/>
      <c r="I46" s="9">
        <f>IF(COUNTA(F46:H46)=0,"",IF(COUNTIF(F46:H46,"X")&gt;0,"Penyimpangan","Sesuai"))</f>
        <v/>
      </c>
      <c r="J46" s="6" t="n"/>
    </row>
    <row r="47">
      <c r="D47" s="16" t="inlineStr">
        <is>
          <t>Jumlah penyimpangan</t>
        </is>
      </c>
      <c r="E47" s="16">
        <f>COUNTIF(I22:I46,"Penyimpangan")</f>
        <v/>
      </c>
    </row>
    <row r="48">
      <c r="D48" s="16" t="inlineStr">
        <is>
          <t>Kesimpulan</t>
        </is>
      </c>
      <c r="E48" s="16">
        <f>IF(COUNTA(I22:I46)-COUNTBLANK(I22:I46)=0,"Belum diuji",IF(E47=0,"Efektif, dapat diandalkan","Tidak efektif, revisi CRA"))</f>
        <v/>
      </c>
      <c r="F48" s="17" t="n"/>
      <c r="G48" s="17" t="n"/>
      <c r="H48" s="17" t="n"/>
      <c r="I48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8:I48"/>
  </mergeCells>
  <dataValidations count="1">
    <dataValidation sqref="F22:H46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Penggajian</t>
        </is>
      </c>
      <c r="H2" s="3" t="inlineStr">
        <is>
          <t>Indeks KK</t>
        </is>
      </c>
      <c r="I2" s="4" t="inlineStr">
        <is>
          <t>B-6E.4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Data karyawan baru disetujui HRD</t>
        </is>
      </c>
    </row>
    <row r="8">
      <c r="A8" s="12" t="inlineStr">
        <is>
          <t>K2</t>
        </is>
      </c>
      <c r="B8" s="13" t="inlineStr">
        <is>
          <t>Rekap absensi direview sebelum payroll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Aset Tetap</t>
        </is>
      </c>
      <c r="H2" s="3" t="inlineStr">
        <is>
          <t>Indeks KK</t>
        </is>
      </c>
      <c r="I2" s="4" t="inlineStr">
        <is>
          <t>B-6E.5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Penambahan aset disetujui sesuai anggaran capex</t>
        </is>
      </c>
    </row>
    <row r="8">
      <c r="A8" s="12" t="inlineStr">
        <is>
          <t>K2</t>
        </is>
      </c>
      <c r="B8" s="13" t="inlineStr">
        <is>
          <t>Register aset direkonsiliasi ke GL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2026-10-18T07:48:42Z</dcterms:created>
  <dcterms:modified xmlns:dcterms="http://purl.org/dc/terms/" xmlns:xsi="http://www.w3.org/2001/XMLSchema-instance" xsi:type="dcterms:W3CDTF">2026-10-18T07:48:42Z</dcterms:modified>
</cp:coreProperties>
</file>