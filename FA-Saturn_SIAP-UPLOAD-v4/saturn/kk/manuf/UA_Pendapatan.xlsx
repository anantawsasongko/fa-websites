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 Lead" sheetId="1" state="visible" r:id="rId1"/>
    <sheet xmlns:r="http://schemas.openxmlformats.org/officeDocument/2006/relationships" name="UA Program" sheetId="2" state="visible" r:id="rId2"/>
    <sheet xmlns:r="http://schemas.openxmlformats.org/officeDocument/2006/relationships" name="UA.1 Tinjauan Analitis" sheetId="3" state="visible" r:id="rId3"/>
    <sheet xmlns:r="http://schemas.openxmlformats.org/officeDocument/2006/relationships" name="UA.2 Prosedur Pengakuan" sheetId="4" state="visible" r:id="rId4"/>
    <sheet xmlns:r="http://schemas.openxmlformats.org/officeDocument/2006/relationships" name="UA.3 Pisah Batas Pengiriman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UA · Pendapatan</t>
        </is>
      </c>
      <c r="I2" s="3" t="inlineStr">
        <is>
          <t>Indeks KK</t>
        </is>
      </c>
      <c r="J2" s="4" t="inlineStr">
        <is>
          <t>UA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UA-1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UA-2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UA-3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UA-4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UA-5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UA-6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UA-7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UA-8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UA.1, UA.2, UA.3</t>
        </is>
      </c>
      <c r="D21" s="19" t="n"/>
      <c r="E21" s="20">
        <f>COUNTIF('UA Program'!$D$8:$D$10,"X")</f>
        <v/>
      </c>
      <c r="F21" s="20">
        <f>COUNTIFS('UA Program'!$D$8:$D$10,"X",'UA Program'!$I$8:$I$10,"Selesai")</f>
        <v/>
      </c>
      <c r="G21" s="20">
        <f>COUNTIFS('UA Program'!$D$8:$D$10,"X",'UA Program'!$J$8:$J$10,"Pengecualian")</f>
        <v/>
      </c>
      <c r="H21" s="16">
        <f>IF(E21=0,"n/a",IF(G21&gt;0,"TT",IF(F21+COUNTIFS('UA Program'!$D$8:$D$10,"X",'UA Program'!$I$8:$I$10,"Tidak Relevan")&lt;E21,"BD",IF(F21=0,"n/a",IF(COUNTIFS('UA Program'!$D$8:$D$10,"X",'UA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UA.2</t>
        </is>
      </c>
      <c r="D22" s="19" t="n"/>
      <c r="E22" s="20">
        <f>COUNTIF('UA Program'!$E$8:$E$10,"X")</f>
        <v/>
      </c>
      <c r="F22" s="20">
        <f>COUNTIFS('UA Program'!$E$8:$E$10,"X",'UA Program'!$I$8:$I$10,"Selesai")</f>
        <v/>
      </c>
      <c r="G22" s="20">
        <f>COUNTIFS('UA Program'!$E$8:$E$10,"X",'UA Program'!$J$8:$J$10,"Pengecualian")</f>
        <v/>
      </c>
      <c r="H22" s="16">
        <f>IF(E22=0,"n/a",IF(G22&gt;0,"TT",IF(F22+COUNTIFS('UA Program'!$E$8:$E$10,"X",'UA Program'!$I$8:$I$10,"Tidak Relevan")&lt;E22,"BD",IF(F22=0,"n/a",IF(COUNTIFS('UA Program'!$E$8:$E$10,"X",'UA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UA.1, UA.2, UA.3</t>
        </is>
      </c>
      <c r="D23" s="19" t="n"/>
      <c r="E23" s="20">
        <f>COUNTIF('UA Program'!$F$8:$F$10,"X")</f>
        <v/>
      </c>
      <c r="F23" s="20">
        <f>COUNTIFS('UA Program'!$F$8:$F$10,"X",'UA Program'!$I$8:$I$10,"Selesai")</f>
        <v/>
      </c>
      <c r="G23" s="20">
        <f>COUNTIFS('UA Program'!$F$8:$F$10,"X",'UA Program'!$J$8:$J$10,"Pengecualian")</f>
        <v/>
      </c>
      <c r="H23" s="16">
        <f>IF(E23=0,"n/a",IF(G23&gt;0,"TT",IF(F23+COUNTIFS('UA Program'!$F$8:$F$10,"X",'UA Program'!$I$8:$I$10,"Tidak Relevan")&lt;E23,"BD",IF(F23=0,"n/a",IF(COUNTIFS('UA Program'!$F$8:$F$10,"X",'UA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UA.1</t>
        </is>
      </c>
      <c r="D25" s="19" t="n"/>
      <c r="E25" s="20">
        <f>COUNTIF('UA Program'!$H$8:$H$10,"X")</f>
        <v/>
      </c>
      <c r="F25" s="20">
        <f>COUNTIFS('UA Program'!$H$8:$H$10,"X",'UA Program'!$I$8:$I$10,"Selesai")</f>
        <v/>
      </c>
      <c r="G25" s="20">
        <f>COUNTIFS('UA Program'!$H$8:$H$10,"X",'UA Program'!$J$8:$J$10,"Pengecualian")</f>
        <v/>
      </c>
      <c r="H25" s="16">
        <f>IF(E25=0,"n/a",IF(G25&gt;0,"TT",IF(F25+COUNTIFS('UA Program'!$H$8:$H$10,"X",'UA Program'!$I$8:$I$10,"Tidak Relevan")&lt;E25,"BD",IF(F25=0,"n/a",IF(COUNTIFS('UA Program'!$H$8:$H$10,"X",'UA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pendapatan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UA · Pendapatan</t>
        </is>
      </c>
      <c r="K2" s="3" t="inlineStr">
        <is>
          <t>Indeks KK</t>
        </is>
      </c>
      <c r="L2" s="4" t="inlineStr">
        <is>
          <t>UA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UA.1</t>
        </is>
      </c>
      <c r="B8" s="18" t="inlineStr">
        <is>
          <t>Tinjauan Analitis Keseluruhan untuk Akun Laba Rugi yang Signifikan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IF('UA.1 Tinjauan Analitis'!$C$7="","Belum",'UA.1 Tinjauan Analitis'!$C$7)</f>
        <v/>
      </c>
      <c r="J8" s="17">
        <f>IF('UA.1 Tinjauan Analitis'!$C$8="","",'UA.1 Tinjauan Analitis'!$C$8)</f>
        <v/>
      </c>
      <c r="K8" s="17">
        <f>IF('UA.1 Tinjauan Analitis'!$C$9="","",'UA.1 Tinjauan Analitis'!$C$9)</f>
        <v/>
      </c>
      <c r="L8" s="18" t="inlineStr">
        <is>
          <t>UA.1 Tinjauan Analitis</t>
        </is>
      </c>
    </row>
    <row r="9" ht="28" customHeight="1">
      <c r="A9" s="26" t="inlineStr">
        <is>
          <t>UA.2</t>
        </is>
      </c>
      <c r="B9" s="18" t="inlineStr">
        <is>
          <t>Prosedur Pengakuan Pendapatan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IF('UA.2 Prosedur Pengakuan'!$C$7="","Belum",'UA.2 Prosedur Pengakuan'!$C$7)</f>
        <v/>
      </c>
      <c r="J9" s="17">
        <f>IF('UA.2 Prosedur Pengakuan'!$C$8="","",'UA.2 Prosedur Pengakuan'!$C$8)</f>
        <v/>
      </c>
      <c r="K9" s="17">
        <f>IF('UA.2 Prosedur Pengakuan'!$C$9="","",'UA.2 Prosedur Pengakuan'!$C$9)</f>
        <v/>
      </c>
      <c r="L9" s="18" t="inlineStr">
        <is>
          <t>UA.2 Prosedur Pengakuan</t>
        </is>
      </c>
    </row>
    <row r="10" ht="28" customHeight="1">
      <c r="A10" s="26" t="inlineStr">
        <is>
          <t>UA.3</t>
        </is>
      </c>
      <c r="B10" s="18" t="inlineStr">
        <is>
          <t>Pisah Batas Pengiriman (Surat Jalan)</t>
        </is>
      </c>
      <c r="C10" s="17" t="inlineStr">
        <is>
          <t>Tambahan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inlineStr">
        <is>
          <t>-</t>
        </is>
      </c>
      <c r="H10" s="20" t="n"/>
      <c r="I10" s="26">
        <f>IF('UA.3 Pisah Batas Pengiriman'!$C$7="","Belum",'UA.3 Pisah Batas Pengiriman'!$C$7)</f>
        <v/>
      </c>
      <c r="J10" s="17">
        <f>IF('UA.3 Pisah Batas Pengiriman'!$C$8="","",'UA.3 Pisah Batas Pengiriman'!$C$8)</f>
        <v/>
      </c>
      <c r="K10" s="17">
        <f>IF('UA.3 Pisah Batas Pengiriman'!$C$9="","",'UA.3 Pisah Batas Pengiriman'!$C$9)</f>
        <v/>
      </c>
      <c r="L10" s="18" t="inlineStr">
        <is>
          <t>UA.3 Pisah Batas Pengiriman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UA.1 · Tinjauan Analitis Keseluruhan untuk Akun Laba Rugi yang Signifikan</t>
        </is>
      </c>
      <c r="H2" s="3" t="inlineStr">
        <is>
          <t>Indeks KK</t>
        </is>
      </c>
      <c r="I2" s="4" t="inlineStr">
        <is>
          <t>UA.1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pendapatan bulanan tahun berjalan dengan tahun lalu, anggaran, dan data operasional;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UA.2 · Prosedur Pengakuan Pendapatan</t>
        </is>
      </c>
      <c r="F2" s="3" t="inlineStr">
        <is>
          <t>Indeks KK</t>
        </is>
      </c>
      <c r="G2" s="4" t="inlineStr">
        <is>
          <t>UA.2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lima langkah PSAK 115 atas sampel kontrak: kewajiban pelaksanaan, harga transaksi, saat pengakuan;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UA.3 · Pisah Batas Pengiriman (Surat Jalan)</t>
        </is>
      </c>
      <c r="H2" s="3" t="inlineStr">
        <is>
          <t>Indeks KK</t>
        </is>
      </c>
      <c r="I2" s="4" t="inlineStr">
        <is>
          <t>UA.3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surat jalan dan faktur lima hari kerja sebelum dan sesudah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