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 Lead" sheetId="1" state="visible" r:id="rId1"/>
    <sheet xmlns:r="http://schemas.openxmlformats.org/officeDocument/2006/relationships" name="E Program" sheetId="2" state="visible" r:id="rId2"/>
    <sheet xmlns:r="http://schemas.openxmlformats.org/officeDocument/2006/relationships" name="E.1 Kesesuaian Buku Besar &amp;" sheetId="3" state="visible" r:id="rId3"/>
    <sheet xmlns:r="http://schemas.openxmlformats.org/officeDocument/2006/relationships" name="E.2 Penerimaan Kas Berikutnya" sheetId="4" state="visible" r:id="rId4"/>
    <sheet xmlns:r="http://schemas.openxmlformats.org/officeDocument/2006/relationships" name="E.3 Prosedur Roll-Forward" sheetId="5" state="visible" r:id="rId5"/>
    <sheet xmlns:r="http://schemas.openxmlformats.org/officeDocument/2006/relationships" name="E.4 Pisah Batas Piutang Usaha" sheetId="6" state="visible" r:id="rId6"/>
    <sheet xmlns:r="http://schemas.openxmlformats.org/officeDocument/2006/relationships" name="E.5 Cadangan Penurunan Nilai" sheetId="7" state="visible" r:id="rId7"/>
    <sheet xmlns:r="http://schemas.openxmlformats.org/officeDocument/2006/relationships" name="E.6 Penyesuaian Lain" sheetId="8" state="visible" r:id="rId8"/>
    <sheet xmlns:r="http://schemas.openxmlformats.org/officeDocument/2006/relationships" name="E.7 Piutang Mata Uang Asing" sheetId="9" state="visible" r:id="rId9"/>
    <sheet xmlns:r="http://schemas.openxmlformats.org/officeDocument/2006/relationships" name="E.8 Credit &amp; Unusual Balance" sheetId="10" state="visible" r:id="rId10"/>
    <sheet xmlns:r="http://schemas.openxmlformats.org/officeDocument/2006/relationships" name="E.9 Konfirmasi Piutang (SA 505)" sheetId="11" state="visible" r:id="rId11"/>
    <sheet xmlns:r="http://schemas.openxmlformats.org/officeDocument/2006/relationships" name="Keteranga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166" fontId="5" fillId="2" borderId="1" applyProtection="1" pivotButton="0" quotePrefix="0" xfId="0">
      <protection locked="0" hidden="0"/>
    </xf>
    <xf numFmtId="165" fontId="5" fillId="2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/Relationships>
</file>

<file path=xl/drawings/_rels/drawing11.xml.rels><Relationships xmlns="http://schemas.openxmlformats.org/package/2006/relationships"><Relationship Type="http://schemas.openxmlformats.org/officeDocument/2006/relationships/image" Target="/xl/media/image21.png" Id="rId1"/><Relationship Type="http://schemas.openxmlformats.org/officeDocument/2006/relationships/image" Target="/xl/media/image22.png" Id="rId2"/></Relationships>
</file>

<file path=xl/drawings/_rels/drawing12.xml.rels><Relationships xmlns="http://schemas.openxmlformats.org/package/2006/relationships"><Relationship Type="http://schemas.openxmlformats.org/officeDocument/2006/relationships/image" Target="/xl/media/image23.png" Id="rId1"/><Relationship Type="http://schemas.openxmlformats.org/officeDocument/2006/relationships/image" Target="/xl/media/image2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E · Piutang Usaha</t>
        </is>
      </c>
      <c r="I2" s="3" t="inlineStr">
        <is>
          <t>Indeks KK</t>
        </is>
      </c>
      <c r="J2" s="4" t="inlineStr">
        <is>
          <t>E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E-1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E-2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E-3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E-4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E-5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E-6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E-7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E-8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E.1, E.2, E.3, E.4, E.8, E.9</t>
        </is>
      </c>
      <c r="D21" s="19" t="n"/>
      <c r="E21" s="20">
        <f>COUNTIF('E Program'!$D$8:$D$16,"X")</f>
        <v/>
      </c>
      <c r="F21" s="20">
        <f>COUNTIFS('E Program'!$D$8:$D$16,"X",'E Program'!$I$8:$I$16,"Selesai")</f>
        <v/>
      </c>
      <c r="G21" s="20">
        <f>COUNTIFS('E Program'!$D$8:$D$16,"X",'E Program'!$J$8:$J$16,"Pengecualian")</f>
        <v/>
      </c>
      <c r="H21" s="16">
        <f>IF(E21=0,"n/a",IF(G21&gt;0,"TT",IF(F21+COUNTIFS('E Program'!$D$8:$D$16,"X",'E Program'!$I$8:$I$16,"Tidak Relevan")&lt;E21,"BD",IF(F21=0,"n/a",IF(COUNTIFS('E Program'!$D$8:$D$16,"X",'E Program'!$J$8:$J$16,"Koreksi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E.2, E.3, E.5, E.6, E.7</t>
        </is>
      </c>
      <c r="D22" s="19" t="n"/>
      <c r="E22" s="20">
        <f>COUNTIF('E Program'!$E$8:$E$16,"X")</f>
        <v/>
      </c>
      <c r="F22" s="20">
        <f>COUNTIFS('E Program'!$E$8:$E$16,"X",'E Program'!$I$8:$I$16,"Selesai")</f>
        <v/>
      </c>
      <c r="G22" s="20">
        <f>COUNTIFS('E Program'!$E$8:$E$16,"X",'E Program'!$J$8:$J$16,"Pengecualian")</f>
        <v/>
      </c>
      <c r="H22" s="16">
        <f>IF(E22=0,"n/a",IF(G22&gt;0,"TT",IF(F22+COUNTIFS('E Program'!$E$8:$E$16,"X",'E Program'!$I$8:$I$16,"Tidak Relevan")&lt;E22,"BD",IF(F22=0,"n/a",IF(COUNTIFS('E Program'!$E$8:$E$16,"X",'E Program'!$J$8:$J$16,"Koreksi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E.1, E.3, E.4, E.8</t>
        </is>
      </c>
      <c r="D23" s="19" t="n"/>
      <c r="E23" s="20">
        <f>COUNTIF('E Program'!$F$8:$F$16,"X")</f>
        <v/>
      </c>
      <c r="F23" s="20">
        <f>COUNTIFS('E Program'!$F$8:$F$16,"X",'E Program'!$I$8:$I$16,"Selesai")</f>
        <v/>
      </c>
      <c r="G23" s="20">
        <f>COUNTIFS('E Program'!$F$8:$F$16,"X",'E Program'!$J$8:$J$16,"Pengecualian")</f>
        <v/>
      </c>
      <c r="H23" s="16">
        <f>IF(E23=0,"n/a",IF(G23&gt;0,"TT",IF(F23+COUNTIFS('E Program'!$F$8:$F$16,"X",'E Program'!$I$8:$I$16,"Tidak Relevan")&lt;E23,"BD",IF(F23=0,"n/a",IF(COUNTIFS('E Program'!$F$8:$F$16,"X",'E Program'!$J$8:$J$16,"Koreksi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E.2, E.9</t>
        </is>
      </c>
      <c r="D24" s="19" t="n"/>
      <c r="E24" s="20">
        <f>COUNTIF('E Program'!$G$8:$G$16,"X")</f>
        <v/>
      </c>
      <c r="F24" s="20">
        <f>COUNTIFS('E Program'!$G$8:$G$16,"X",'E Program'!$I$8:$I$16,"Selesai")</f>
        <v/>
      </c>
      <c r="G24" s="20">
        <f>COUNTIFS('E Program'!$G$8:$G$16,"X",'E Program'!$J$8:$J$16,"Pengecualian")</f>
        <v/>
      </c>
      <c r="H24" s="16">
        <f>IF(E24=0,"n/a",IF(G24&gt;0,"TT",IF(F24+COUNTIFS('E Program'!$G$8:$G$16,"X",'E Program'!$I$8:$I$16,"Tidak Relevan")&lt;E24,"BD",IF(F24=0,"n/a",IF(COUNTIFS('E Program'!$G$8:$G$16,"X",'E Program'!$J$8:$J$16,"Koreksi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E.2, E.5, E.6, E.7</t>
        </is>
      </c>
      <c r="D25" s="19" t="n"/>
      <c r="E25" s="20">
        <f>COUNTIF('E Program'!$H$8:$H$16,"X")</f>
        <v/>
      </c>
      <c r="F25" s="20">
        <f>COUNTIFS('E Program'!$H$8:$H$16,"X",'E Program'!$I$8:$I$16,"Selesai")</f>
        <v/>
      </c>
      <c r="G25" s="20">
        <f>COUNTIFS('E Program'!$H$8:$H$16,"X",'E Program'!$J$8:$J$16,"Pengecualian")</f>
        <v/>
      </c>
      <c r="H25" s="16">
        <f>IF(E25=0,"n/a",IF(G25&gt;0,"TT",IF(F25+COUNTIFS('E Program'!$H$8:$H$16,"X",'E Program'!$I$8:$I$16,"Tidak Relevan")&lt;E25,"BD",IF(F25=0,"n/a",IF(COUNTIFS('E Program'!$H$8:$H$16,"X",'E Program'!$J$8:$J$16,"Koreksi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piutang Usaha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E · Piutang Usaha</t>
        </is>
      </c>
      <c r="K2" s="3" t="inlineStr">
        <is>
          <t>Indeks KK</t>
        </is>
      </c>
      <c r="L2" s="4" t="inlineStr">
        <is>
          <t>E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E.1</t>
        </is>
      </c>
      <c r="B8" s="18" t="inlineStr">
        <is>
          <t>Kesesuaian Buku Besar &amp; Detil</t>
        </is>
      </c>
      <c r="C8" s="17" t="inlineStr">
        <is>
          <t>PSP</t>
        </is>
      </c>
      <c r="D8" s="20" t="inlineStr">
        <is>
          <t>X</t>
        </is>
      </c>
      <c r="E8" s="20" t="n"/>
      <c r="F8" s="20" t="inlineStr">
        <is>
          <t>X</t>
        </is>
      </c>
      <c r="G8" s="20" t="n"/>
      <c r="H8" s="20" t="n"/>
      <c r="I8" s="26">
        <f>IF('E.1 Kesesuaian Buku Besar &amp;'!$C$7="","Belum",'E.1 Kesesuaian Buku Besar &amp;'!$C$7)</f>
        <v/>
      </c>
      <c r="J8" s="17">
        <f>IF('E.1 Kesesuaian Buku Besar &amp;'!$C$8="","",'E.1 Kesesuaian Buku Besar &amp;'!$C$8)</f>
        <v/>
      </c>
      <c r="K8" s="17">
        <f>IF('E.1 Kesesuaian Buku Besar &amp;'!$C$9="","",'E.1 Kesesuaian Buku Besar &amp;'!$C$9)</f>
        <v/>
      </c>
      <c r="L8" s="18" t="inlineStr">
        <is>
          <t>E.1 Kesesuaian Buku Besar &amp;</t>
        </is>
      </c>
    </row>
    <row r="9" ht="28" customHeight="1">
      <c r="A9" s="26" t="inlineStr">
        <is>
          <t>E.2</t>
        </is>
      </c>
      <c r="B9" s="18" t="inlineStr">
        <is>
          <t>Penerimaan Kas Berikutnya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n"/>
      <c r="G9" s="20" t="inlineStr">
        <is>
          <t>X</t>
        </is>
      </c>
      <c r="H9" s="20" t="inlineStr">
        <is>
          <t>X</t>
        </is>
      </c>
      <c r="I9" s="26">
        <f>IF('E.2 Penerimaan Kas Berikutnya'!$C$7="","Belum",'E.2 Penerimaan Kas Berikutnya'!$C$7)</f>
        <v/>
      </c>
      <c r="J9" s="17">
        <f>IF('E.2 Penerimaan Kas Berikutnya'!$C$8="","",'E.2 Penerimaan Kas Berikutnya'!$C$8)</f>
        <v/>
      </c>
      <c r="K9" s="17">
        <f>IF('E.2 Penerimaan Kas Berikutnya'!$C$9="","",'E.2 Penerimaan Kas Berikutnya'!$C$9)</f>
        <v/>
      </c>
      <c r="L9" s="18" t="inlineStr">
        <is>
          <t>E.2 Penerimaan Kas Berikutnya</t>
        </is>
      </c>
    </row>
    <row r="10" ht="28" customHeight="1">
      <c r="A10" s="26" t="inlineStr">
        <is>
          <t>E.3</t>
        </is>
      </c>
      <c r="B10" s="18" t="inlineStr">
        <is>
          <t>Prosedur Roll-Forward</t>
        </is>
      </c>
      <c r="C10" s="17" t="inlineStr">
        <is>
          <t>PSP</t>
        </is>
      </c>
      <c r="D10" s="20" t="inlineStr">
        <is>
          <t>X</t>
        </is>
      </c>
      <c r="E10" s="20" t="inlineStr">
        <is>
          <t>X</t>
        </is>
      </c>
      <c r="F10" s="20" t="inlineStr">
        <is>
          <t>X</t>
        </is>
      </c>
      <c r="G10" s="20" t="n"/>
      <c r="H10" s="20" t="n"/>
      <c r="I10" s="26">
        <f>IF('E.3 Prosedur Roll-Forward'!$C$7="","Belum",'E.3 Prosedur Roll-Forward'!$C$7)</f>
        <v/>
      </c>
      <c r="J10" s="17">
        <f>IF('E.3 Prosedur Roll-Forward'!$C$8="","",'E.3 Prosedur Roll-Forward'!$C$8)</f>
        <v/>
      </c>
      <c r="K10" s="17">
        <f>IF('E.3 Prosedur Roll-Forward'!$C$9="","",'E.3 Prosedur Roll-Forward'!$C$9)</f>
        <v/>
      </c>
      <c r="L10" s="18" t="inlineStr">
        <is>
          <t>E.3 Prosedur Roll-Forward</t>
        </is>
      </c>
    </row>
    <row r="11" ht="28" customHeight="1">
      <c r="A11" s="26" t="inlineStr">
        <is>
          <t>E.4</t>
        </is>
      </c>
      <c r="B11" s="18" t="inlineStr">
        <is>
          <t>Pisah Batas Piutang Usaha</t>
        </is>
      </c>
      <c r="C11" s="17" t="inlineStr">
        <is>
          <t>PSP</t>
        </is>
      </c>
      <c r="D11" s="20" t="inlineStr">
        <is>
          <t>X</t>
        </is>
      </c>
      <c r="E11" s="20" t="n"/>
      <c r="F11" s="20" t="inlineStr">
        <is>
          <t>X</t>
        </is>
      </c>
      <c r="G11" s="20" t="n"/>
      <c r="H11" s="20" t="n"/>
      <c r="I11" s="26">
        <f>IF('E.4 Pisah Batas Piutang Usaha'!$C$7="","Belum",'E.4 Pisah Batas Piutang Usaha'!$C$7)</f>
        <v/>
      </c>
      <c r="J11" s="17">
        <f>IF('E.4 Pisah Batas Piutang Usaha'!$C$8="","",'E.4 Pisah Batas Piutang Usaha'!$C$8)</f>
        <v/>
      </c>
      <c r="K11" s="17">
        <f>IF('E.4 Pisah Batas Piutang Usaha'!$C$9="","",'E.4 Pisah Batas Piutang Usaha'!$C$9)</f>
        <v/>
      </c>
      <c r="L11" s="18" t="inlineStr">
        <is>
          <t>E.4 Pisah Batas Piutang Usaha</t>
        </is>
      </c>
    </row>
    <row r="12" ht="28" customHeight="1">
      <c r="A12" s="26" t="inlineStr">
        <is>
          <t>E.5</t>
        </is>
      </c>
      <c r="B12" s="18" t="inlineStr">
        <is>
          <t>Cadangan Penurunan Nilai</t>
        </is>
      </c>
      <c r="C12" s="17" t="inlineStr">
        <is>
          <t>PSP</t>
        </is>
      </c>
      <c r="D12" s="20" t="n"/>
      <c r="E12" s="20" t="inlineStr">
        <is>
          <t>X</t>
        </is>
      </c>
      <c r="F12" s="20" t="n"/>
      <c r="G12" s="20" t="n"/>
      <c r="H12" s="20" t="inlineStr">
        <is>
          <t>X</t>
        </is>
      </c>
      <c r="I12" s="26">
        <f>IF('E.5 Cadangan Penurunan Nilai'!$C$7="","Belum",'E.5 Cadangan Penurunan Nilai'!$C$7)</f>
        <v/>
      </c>
      <c r="J12" s="17">
        <f>IF('E.5 Cadangan Penurunan Nilai'!$C$8="","",'E.5 Cadangan Penurunan Nilai'!$C$8)</f>
        <v/>
      </c>
      <c r="K12" s="17">
        <f>IF('E.5 Cadangan Penurunan Nilai'!$C$9="","",'E.5 Cadangan Penurunan Nilai'!$C$9)</f>
        <v/>
      </c>
      <c r="L12" s="18" t="inlineStr">
        <is>
          <t>E.5 Cadangan Penurunan Nilai</t>
        </is>
      </c>
    </row>
    <row r="13" ht="28" customHeight="1">
      <c r="A13" s="26" t="inlineStr">
        <is>
          <t>E.6</t>
        </is>
      </c>
      <c r="B13" s="18" t="inlineStr">
        <is>
          <t>Penyesuaian Lain</t>
        </is>
      </c>
      <c r="C13" s="17" t="inlineStr">
        <is>
          <t>PSP</t>
        </is>
      </c>
      <c r="D13" s="20" t="n"/>
      <c r="E13" s="20" t="inlineStr">
        <is>
          <t>X</t>
        </is>
      </c>
      <c r="F13" s="20" t="n"/>
      <c r="G13" s="20" t="n"/>
      <c r="H13" s="20" t="inlineStr">
        <is>
          <t>X</t>
        </is>
      </c>
      <c r="I13" s="26">
        <f>IF('E.6 Penyesuaian Lain'!$C$7="","Belum",'E.6 Penyesuaian Lain'!$C$7)</f>
        <v/>
      </c>
      <c r="J13" s="17">
        <f>IF('E.6 Penyesuaian Lain'!$C$8="","",'E.6 Penyesuaian Lain'!$C$8)</f>
        <v/>
      </c>
      <c r="K13" s="17">
        <f>IF('E.6 Penyesuaian Lain'!$C$9="","",'E.6 Penyesuaian Lain'!$C$9)</f>
        <v/>
      </c>
      <c r="L13" s="18" t="inlineStr">
        <is>
          <t>E.6 Penyesuaian Lain</t>
        </is>
      </c>
    </row>
    <row r="14" ht="28" customHeight="1">
      <c r="A14" s="26" t="inlineStr">
        <is>
          <t>E.7</t>
        </is>
      </c>
      <c r="B14" s="18" t="inlineStr">
        <is>
          <t>Piutang Mata Uang Asing</t>
        </is>
      </c>
      <c r="C14" s="17" t="inlineStr">
        <is>
          <t>PSP</t>
        </is>
      </c>
      <c r="D14" s="20" t="n"/>
      <c r="E14" s="20" t="inlineStr">
        <is>
          <t>X</t>
        </is>
      </c>
      <c r="F14" s="20" t="n"/>
      <c r="G14" s="20" t="n"/>
      <c r="H14" s="20" t="inlineStr">
        <is>
          <t>X</t>
        </is>
      </c>
      <c r="I14" s="26">
        <f>IF('E.7 Piutang Mata Uang Asing'!$C$7="","Belum",'E.7 Piutang Mata Uang Asing'!$C$7)</f>
        <v/>
      </c>
      <c r="J14" s="17">
        <f>IF('E.7 Piutang Mata Uang Asing'!$C$8="","",'E.7 Piutang Mata Uang Asing'!$C$8)</f>
        <v/>
      </c>
      <c r="K14" s="17">
        <f>IF('E.7 Piutang Mata Uang Asing'!$C$9="","",'E.7 Piutang Mata Uang Asing'!$C$9)</f>
        <v/>
      </c>
      <c r="L14" s="18" t="inlineStr">
        <is>
          <t>E.7 Piutang Mata Uang Asing</t>
        </is>
      </c>
    </row>
    <row r="15" ht="28" customHeight="1">
      <c r="A15" s="26" t="inlineStr">
        <is>
          <t>E.8</t>
        </is>
      </c>
      <c r="B15" s="18" t="inlineStr">
        <is>
          <t>Credit &amp; Unusual Balance</t>
        </is>
      </c>
      <c r="C15" s="17" t="inlineStr">
        <is>
          <t>PSP</t>
        </is>
      </c>
      <c r="D15" s="20" t="inlineStr">
        <is>
          <t>X</t>
        </is>
      </c>
      <c r="E15" s="20" t="n"/>
      <c r="F15" s="20" t="inlineStr">
        <is>
          <t>X</t>
        </is>
      </c>
      <c r="G15" s="20" t="n"/>
      <c r="H15" s="20" t="n"/>
      <c r="I15" s="26">
        <f>IF('E.8 Credit &amp; Unusual Balance'!$C$7="","Belum",'E.8 Credit &amp; Unusual Balance'!$C$7)</f>
        <v/>
      </c>
      <c r="J15" s="17">
        <f>IF('E.8 Credit &amp; Unusual Balance'!$C$8="","",'E.8 Credit &amp; Unusual Balance'!$C$8)</f>
        <v/>
      </c>
      <c r="K15" s="17">
        <f>IF('E.8 Credit &amp; Unusual Balance'!$C$9="","",'E.8 Credit &amp; Unusual Balance'!$C$9)</f>
        <v/>
      </c>
      <c r="L15" s="18" t="inlineStr">
        <is>
          <t>E.8 Credit &amp; Unusual Balance</t>
        </is>
      </c>
    </row>
    <row r="16" ht="28" customHeight="1">
      <c r="A16" s="26" t="inlineStr">
        <is>
          <t>E.9</t>
        </is>
      </c>
      <c r="B16" s="18" t="inlineStr">
        <is>
          <t>Konfirmasi Piutang (SA 505)</t>
        </is>
      </c>
      <c r="C16" s="17" t="inlineStr">
        <is>
          <t>Tambahan</t>
        </is>
      </c>
      <c r="D16" s="20" t="inlineStr">
        <is>
          <t>X</t>
        </is>
      </c>
      <c r="E16" s="20" t="n"/>
      <c r="F16" s="20" t="n"/>
      <c r="G16" s="20" t="inlineStr">
        <is>
          <t>X</t>
        </is>
      </c>
      <c r="H16" s="20" t="n"/>
      <c r="I16" s="26">
        <f>IF('E.9 Konfirmasi Piutang (SA 505)'!$C$7="","Belum",'E.9 Konfirmasi Piutang (SA 505)'!$C$7)</f>
        <v/>
      </c>
      <c r="J16" s="17">
        <f>IF('E.9 Konfirmasi Piutang (SA 505)'!$C$8="","",'E.9 Konfirmasi Piutang (SA 505)'!$C$8)</f>
        <v/>
      </c>
      <c r="K16" s="17">
        <f>IF('E.9 Konfirmasi Piutang (SA 505)'!$C$9="","",'E.9 Konfirmasi Piutang (SA 505)'!$C$9)</f>
        <v/>
      </c>
      <c r="L16" s="18" t="inlineStr">
        <is>
          <t>E.9 Konfirmasi Piutang (SA 505)</t>
        </is>
      </c>
    </row>
    <row r="18">
      <c r="A18" s="25" t="inlineStr">
        <is>
          <t>Status dan hasil diisi di sheet KK anak masing-masing prosedur (sel kuning bagian A). Program ini dan jawaban asersi di Lead terisi otomatis.</t>
        </is>
      </c>
    </row>
    <row r="19">
      <c r="A19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E.1 · Kesesuaian Buku Besar &amp; Detil</t>
        </is>
      </c>
      <c r="F2" s="3" t="inlineStr">
        <is>
          <t>Indeks KK</t>
        </is>
      </c>
      <c r="G2" s="4" t="inlineStr">
        <is>
          <t>E.1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Footing rincian piutang per pelanggan dan cocokkan totalnya dengan buku besar dan neraca saldo.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E.2 · Penerimaan Kas Berikutnya</t>
        </is>
      </c>
      <c r="F2" s="3" t="inlineStr">
        <is>
          <t>Indeks KK</t>
        </is>
      </c>
      <c r="G2" s="4" t="inlineStr">
        <is>
          <t>E.2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Telusuri penerimaan kas setelah tanggal neraca atas sampel saldo piutang ke rekening koran dan bukti penerimaan.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22" customWidth="1" min="4" max="4"/>
    <col width="12" customWidth="1" min="5" max="5"/>
    <col width="2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E.3 · Prosedur Roll-Forward</t>
        </is>
      </c>
      <c r="E2" s="3" t="inlineStr">
        <is>
          <t>Indeks KK</t>
        </is>
      </c>
      <c r="F2" s="4" t="inlineStr">
        <is>
          <t>E.3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Susun roll-forward saldo awal + penjualan kredit - penerimaan - retur/potongan = saldo akhir; cocokkan setiap komponen dengan sumbernya.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</t>
        </is>
      </c>
      <c r="C15" s="10" t="inlineStr">
        <is>
          <t>Jumlah</t>
        </is>
      </c>
      <c r="D15" s="10" t="inlineStr">
        <is>
          <t>Sumber / Ref</t>
        </is>
      </c>
      <c r="E15" s="10" t="inlineStr">
        <is>
          <t>Tickmark</t>
        </is>
      </c>
      <c r="F15" s="10" t="inlineStr">
        <is>
          <t>Keterangan</t>
        </is>
      </c>
    </row>
    <row r="16">
      <c r="A16" s="11" t="n">
        <v>1</v>
      </c>
      <c r="B16" s="11" t="inlineStr">
        <is>
          <t>Saldo Awal (Audit Tahun Lalu)</t>
        </is>
      </c>
      <c r="C16" s="8" t="n"/>
      <c r="D16" s="6" t="n"/>
      <c r="E16" s="6" t="n"/>
      <c r="F16" s="6" t="n"/>
    </row>
    <row r="17">
      <c r="A17" s="11" t="n">
        <v>2</v>
      </c>
      <c r="B17" s="11" t="inlineStr">
        <is>
          <t>Penambahan</t>
        </is>
      </c>
      <c r="C17" s="8" t="n"/>
      <c r="D17" s="6" t="n"/>
      <c r="E17" s="6" t="n"/>
      <c r="F17" s="6" t="n"/>
    </row>
    <row r="18">
      <c r="A18" s="11" t="n">
        <v>3</v>
      </c>
      <c r="B18" s="11" t="inlineStr">
        <is>
          <t>Pengurangan</t>
        </is>
      </c>
      <c r="C18" s="8" t="n"/>
      <c r="D18" s="6" t="n"/>
      <c r="E18" s="6" t="n"/>
      <c r="F18" s="6" t="n"/>
    </row>
    <row r="19">
      <c r="A19" s="11" t="n">
        <v>4</v>
      </c>
      <c r="B19" s="11" t="inlineStr">
        <is>
          <t>Penyesuaian Lain</t>
        </is>
      </c>
      <c r="C19" s="8" t="n"/>
      <c r="D19" s="6" t="n"/>
      <c r="E19" s="6" t="n"/>
      <c r="F19" s="6" t="n"/>
    </row>
    <row r="20">
      <c r="B20" s="9" t="inlineStr">
        <is>
          <t>Saldo Akhir Dihitung</t>
        </is>
      </c>
      <c r="C20" s="14">
        <f>C16+C17-C18+C19</f>
        <v/>
      </c>
    </row>
    <row r="21">
      <c r="B21" s="9" t="inlineStr">
        <is>
          <t>Saldo Akhir Per Buku</t>
        </is>
      </c>
      <c r="C21" s="8" t="n"/>
    </row>
    <row r="22">
      <c r="B22" s="9" t="inlineStr">
        <is>
          <t>Selisih</t>
        </is>
      </c>
      <c r="C22" s="14">
        <f>IF(C21="","",C20-C21)</f>
        <v/>
      </c>
    </row>
    <row r="24">
      <c r="A24" s="28" t="inlineStr">
        <is>
          <t>Kesimpulan Pengujian</t>
        </is>
      </c>
      <c r="C24" s="24" t="n"/>
    </row>
    <row r="2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F7"/>
    <mergeCell ref="A12:F12"/>
    <mergeCell ref="E9:F9"/>
    <mergeCell ref="C24:F25"/>
    <mergeCell ref="E8:F8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E16:E19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6" customWidth="1" min="5" max="5"/>
    <col width="14" customWidth="1" min="6" max="6"/>
    <col width="14" customWidth="1" min="7" max="7"/>
    <col width="14" customWidth="1" min="8" max="8"/>
    <col width="26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E.4 · Pisah Batas Piutang Usaha</t>
        </is>
      </c>
      <c r="H2" s="3" t="inlineStr">
        <is>
          <t>Indeks KK</t>
        </is>
      </c>
      <c r="I2" s="4" t="inlineStr">
        <is>
          <t>E.4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faktur dan dokumen pengiriman lima hari kerja sebelum dan sesudah tanggal neraca; pastikan piutang dicatat pada periode yang tepat.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Tanggal</t>
        </is>
      </c>
      <c r="C15" s="10" t="inlineStr">
        <is>
          <t>No. Dokumen</t>
        </is>
      </c>
      <c r="D15" s="10" t="inlineStr">
        <is>
          <t>Uraian</t>
        </is>
      </c>
      <c r="E15" s="10" t="inlineStr">
        <is>
          <t>Nilai</t>
        </is>
      </c>
      <c r="F15" s="10" t="inlineStr">
        <is>
          <t>Dicatat Periode</t>
        </is>
      </c>
      <c r="G15" s="10" t="inlineStr">
        <is>
          <t>Seharusnya Periode</t>
        </is>
      </c>
      <c r="H15" s="10" t="inlineStr">
        <is>
          <t>Hasil</t>
        </is>
      </c>
      <c r="I15" s="10" t="inlineStr">
        <is>
          <t>Keterangan</t>
        </is>
      </c>
    </row>
    <row r="16">
      <c r="A16" s="11" t="n">
        <v>1</v>
      </c>
      <c r="B16" s="29" t="n"/>
      <c r="C16" s="6" t="n"/>
      <c r="D16" s="6" t="n"/>
      <c r="E16" s="8" t="n"/>
      <c r="F16" s="6" t="n"/>
      <c r="G16" s="6" t="n"/>
      <c r="H16" s="11">
        <f>IF(OR(F16="",G16=""),"",IF(F16=G16,"Sesuai","Salah Saji"))</f>
        <v/>
      </c>
      <c r="I16" s="6" t="n"/>
    </row>
    <row r="17">
      <c r="A17" s="11" t="n">
        <v>2</v>
      </c>
      <c r="B17" s="29" t="n"/>
      <c r="C17" s="6" t="n"/>
      <c r="D17" s="6" t="n"/>
      <c r="E17" s="8" t="n"/>
      <c r="F17" s="6" t="n"/>
      <c r="G17" s="6" t="n"/>
      <c r="H17" s="11">
        <f>IF(OR(F17="",G17=""),"",IF(F17=G17,"Sesuai","Salah Saji"))</f>
        <v/>
      </c>
      <c r="I17" s="6" t="n"/>
    </row>
    <row r="18">
      <c r="A18" s="11" t="n">
        <v>3</v>
      </c>
      <c r="B18" s="29" t="n"/>
      <c r="C18" s="6" t="n"/>
      <c r="D18" s="6" t="n"/>
      <c r="E18" s="8" t="n"/>
      <c r="F18" s="6" t="n"/>
      <c r="G18" s="6" t="n"/>
      <c r="H18" s="11">
        <f>IF(OR(F18="",G18=""),"",IF(F18=G18,"Sesuai","Salah Saji"))</f>
        <v/>
      </c>
      <c r="I18" s="6" t="n"/>
    </row>
    <row r="19">
      <c r="A19" s="11" t="n">
        <v>4</v>
      </c>
      <c r="B19" s="29" t="n"/>
      <c r="C19" s="6" t="n"/>
      <c r="D19" s="6" t="n"/>
      <c r="E19" s="8" t="n"/>
      <c r="F19" s="6" t="n"/>
      <c r="G19" s="6" t="n"/>
      <c r="H19" s="11">
        <f>IF(OR(F19="",G19=""),"",IF(F19=G19,"Sesuai","Salah Saji"))</f>
        <v/>
      </c>
      <c r="I19" s="6" t="n"/>
    </row>
    <row r="20">
      <c r="A20" s="11" t="n">
        <v>5</v>
      </c>
      <c r="B20" s="29" t="n"/>
      <c r="C20" s="6" t="n"/>
      <c r="D20" s="6" t="n"/>
      <c r="E20" s="8" t="n"/>
      <c r="F20" s="6" t="n"/>
      <c r="G20" s="6" t="n"/>
      <c r="H20" s="11">
        <f>IF(OR(F20="",G20=""),"",IF(F20=G20,"Sesuai","Salah Saji"))</f>
        <v/>
      </c>
      <c r="I20" s="6" t="n"/>
    </row>
    <row r="21">
      <c r="A21" s="11" t="n">
        <v>6</v>
      </c>
      <c r="B21" s="29" t="n"/>
      <c r="C21" s="6" t="n"/>
      <c r="D21" s="6" t="n"/>
      <c r="E21" s="8" t="n"/>
      <c r="F21" s="6" t="n"/>
      <c r="G21" s="6" t="n"/>
      <c r="H21" s="11">
        <f>IF(OR(F21="",G21=""),"",IF(F21=G21,"Sesuai","Salah Saji"))</f>
        <v/>
      </c>
      <c r="I21" s="6" t="n"/>
    </row>
    <row r="22">
      <c r="A22" s="11" t="n">
        <v>7</v>
      </c>
      <c r="B22" s="29" t="n"/>
      <c r="C22" s="6" t="n"/>
      <c r="D22" s="6" t="n"/>
      <c r="E22" s="8" t="n"/>
      <c r="F22" s="6" t="n"/>
      <c r="G22" s="6" t="n"/>
      <c r="H22" s="11">
        <f>IF(OR(F22="",G22=""),"",IF(F22=G22,"Sesuai","Salah Saji"))</f>
        <v/>
      </c>
      <c r="I22" s="6" t="n"/>
    </row>
    <row r="23">
      <c r="A23" s="11" t="n">
        <v>8</v>
      </c>
      <c r="B23" s="29" t="n"/>
      <c r="C23" s="6" t="n"/>
      <c r="D23" s="6" t="n"/>
      <c r="E23" s="8" t="n"/>
      <c r="F23" s="6" t="n"/>
      <c r="G23" s="6" t="n"/>
      <c r="H23" s="11">
        <f>IF(OR(F23="",G23=""),"",IF(F23=G23,"Sesuai","Salah Saji"))</f>
        <v/>
      </c>
      <c r="I23" s="6" t="n"/>
    </row>
    <row r="24">
      <c r="A24" s="11" t="n">
        <v>9</v>
      </c>
      <c r="B24" s="29" t="n"/>
      <c r="C24" s="6" t="n"/>
      <c r="D24" s="6" t="n"/>
      <c r="E24" s="8" t="n"/>
      <c r="F24" s="6" t="n"/>
      <c r="G24" s="6" t="n"/>
      <c r="H24" s="11">
        <f>IF(OR(F24="",G24=""),"",IF(F24=G24,"Sesuai","Salah Saji"))</f>
        <v/>
      </c>
      <c r="I24" s="6" t="n"/>
    </row>
    <row r="25">
      <c r="A25" s="11" t="n">
        <v>10</v>
      </c>
      <c r="B25" s="29" t="n"/>
      <c r="C25" s="6" t="n"/>
      <c r="D25" s="6" t="n"/>
      <c r="E25" s="8" t="n"/>
      <c r="F25" s="6" t="n"/>
      <c r="G25" s="6" t="n"/>
      <c r="H25" s="11">
        <f>IF(OR(F25="",G25=""),"",IF(F25=G25,"Sesuai","Salah Saji"))</f>
        <v/>
      </c>
      <c r="I25" s="6" t="n"/>
    </row>
    <row r="26">
      <c r="A26" s="11" t="n">
        <v>11</v>
      </c>
      <c r="B26" s="29" t="n"/>
      <c r="C26" s="6" t="n"/>
      <c r="D26" s="6" t="n"/>
      <c r="E26" s="8" t="n"/>
      <c r="F26" s="6" t="n"/>
      <c r="G26" s="6" t="n"/>
      <c r="H26" s="11">
        <f>IF(OR(F26="",G26=""),"",IF(F26=G26,"Sesuai","Salah Saji"))</f>
        <v/>
      </c>
      <c r="I26" s="6" t="n"/>
    </row>
    <row r="27">
      <c r="A27" s="11" t="n">
        <v>12</v>
      </c>
      <c r="B27" s="29" t="n"/>
      <c r="C27" s="6" t="n"/>
      <c r="D27" s="6" t="n"/>
      <c r="E27" s="8" t="n"/>
      <c r="F27" s="6" t="n"/>
      <c r="G27" s="6" t="n"/>
      <c r="H27" s="11">
        <f>IF(OR(F27="",G27=""),"",IF(F27=G27,"Sesuai","Salah Saji"))</f>
        <v/>
      </c>
      <c r="I27" s="6" t="n"/>
    </row>
    <row r="28">
      <c r="A28" s="11" t="n">
        <v>13</v>
      </c>
      <c r="B28" s="29" t="n"/>
      <c r="C28" s="6" t="n"/>
      <c r="D28" s="6" t="n"/>
      <c r="E28" s="8" t="n"/>
      <c r="F28" s="6" t="n"/>
      <c r="G28" s="6" t="n"/>
      <c r="H28" s="11">
        <f>IF(OR(F28="",G28=""),"",IF(F28=G28,"Sesuai","Salah Saji"))</f>
        <v/>
      </c>
      <c r="I28" s="6" t="n"/>
    </row>
    <row r="29">
      <c r="A29" s="11" t="n">
        <v>14</v>
      </c>
      <c r="B29" s="29" t="n"/>
      <c r="C29" s="6" t="n"/>
      <c r="D29" s="6" t="n"/>
      <c r="E29" s="8" t="n"/>
      <c r="F29" s="6" t="n"/>
      <c r="G29" s="6" t="n"/>
      <c r="H29" s="11">
        <f>IF(OR(F29="",G29=""),"",IF(F29=G29,"Sesuai","Salah Saji"))</f>
        <v/>
      </c>
      <c r="I29" s="6" t="n"/>
    </row>
    <row r="30">
      <c r="A30" s="11" t="n">
        <v>15</v>
      </c>
      <c r="B30" s="29" t="n"/>
      <c r="C30" s="6" t="n"/>
      <c r="D30" s="6" t="n"/>
      <c r="E30" s="8" t="n"/>
      <c r="F30" s="6" t="n"/>
      <c r="G30" s="6" t="n"/>
      <c r="H30" s="11">
        <f>IF(OR(F30="",G30=""),"",IF(F30=G30,"Sesuai","Salah Saji"))</f>
        <v/>
      </c>
      <c r="I30" s="6" t="n"/>
    </row>
    <row r="31">
      <c r="A31" s="11" t="n">
        <v>16</v>
      </c>
      <c r="B31" s="29" t="n"/>
      <c r="C31" s="6" t="n"/>
      <c r="D31" s="6" t="n"/>
      <c r="E31" s="8" t="n"/>
      <c r="F31" s="6" t="n"/>
      <c r="G31" s="6" t="n"/>
      <c r="H31" s="11">
        <f>IF(OR(F31="",G31=""),"",IF(F31=G31,"Sesuai","Salah Saji"))</f>
        <v/>
      </c>
      <c r="I31" s="6" t="n"/>
    </row>
    <row r="32">
      <c r="A32" s="11" t="n">
        <v>17</v>
      </c>
      <c r="B32" s="29" t="n"/>
      <c r="C32" s="6" t="n"/>
      <c r="D32" s="6" t="n"/>
      <c r="E32" s="8" t="n"/>
      <c r="F32" s="6" t="n"/>
      <c r="G32" s="6" t="n"/>
      <c r="H32" s="11">
        <f>IF(OR(F32="",G32=""),"",IF(F32=G32,"Sesuai","Salah Saji"))</f>
        <v/>
      </c>
      <c r="I32" s="6" t="n"/>
    </row>
    <row r="33">
      <c r="A33" s="11" t="n">
        <v>18</v>
      </c>
      <c r="B33" s="29" t="n"/>
      <c r="C33" s="6" t="n"/>
      <c r="D33" s="6" t="n"/>
      <c r="E33" s="8" t="n"/>
      <c r="F33" s="6" t="n"/>
      <c r="G33" s="6" t="n"/>
      <c r="H33" s="11">
        <f>IF(OR(F33="",G33=""),"",IF(F33=G33,"Sesuai","Salah Saji"))</f>
        <v/>
      </c>
      <c r="I33" s="6" t="n"/>
    </row>
    <row r="34">
      <c r="A34" s="11" t="n">
        <v>19</v>
      </c>
      <c r="B34" s="29" t="n"/>
      <c r="C34" s="6" t="n"/>
      <c r="D34" s="6" t="n"/>
      <c r="E34" s="8" t="n"/>
      <c r="F34" s="6" t="n"/>
      <c r="G34" s="6" t="n"/>
      <c r="H34" s="11">
        <f>IF(OR(F34="",G34=""),"",IF(F34=G34,"Sesuai","Salah Saji"))</f>
        <v/>
      </c>
      <c r="I34" s="6" t="n"/>
    </row>
    <row r="35">
      <c r="A35" s="11" t="n">
        <v>20</v>
      </c>
      <c r="B35" s="29" t="n"/>
      <c r="C35" s="6" t="n"/>
      <c r="D35" s="6" t="n"/>
      <c r="E35" s="8" t="n"/>
      <c r="F35" s="6" t="n"/>
      <c r="G35" s="6" t="n"/>
      <c r="H35" s="11">
        <f>IF(OR(F35="",G35=""),"",IF(F35=G35,"Sesuai","Salah Saji"))</f>
        <v/>
      </c>
      <c r="I35" s="6" t="n"/>
    </row>
    <row r="36">
      <c r="D36" s="9" t="inlineStr">
        <is>
          <t>Jumlah Salah Saji Pisah Batas</t>
        </is>
      </c>
      <c r="E36" s="14">
        <f>SUMIF(H16:H35,"Salah Saji",E16:E35)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8:I39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G35" showDropDown="0" showInputMessage="0" showErrorMessage="0" allowBlank="1" type="list">
      <formula1>"2025,2026"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5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E.5 · Cadangan Penurunan Nilai</t>
        </is>
      </c>
      <c r="I2" s="3" t="inlineStr">
        <is>
          <t>Indeks KK</t>
        </is>
      </c>
      <c r="J2" s="4" t="inlineStr">
        <is>
          <t>E.5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umur piutang dan rekalkulasi cadangan kerugian kredit ekspektasian (PSAK 109); evaluasi asumsi manajemen.</t>
        </is>
      </c>
    </row>
    <row r="14">
      <c r="A14" s="7" t="inlineStr">
        <is>
          <t>C. Pengujian</t>
        </is>
      </c>
    </row>
    <row r="15">
      <c r="B15" s="3" t="inlineStr">
        <is>
          <t>Tarif Cadangan Per Kelompok Umur</t>
        </is>
      </c>
      <c r="D15" s="30" t="n"/>
      <c r="E15" s="30" t="n"/>
      <c r="F15" s="30" t="n"/>
      <c r="G15" s="30" t="n"/>
    </row>
    <row r="16" ht="30" customHeight="1">
      <c r="A16" s="10" t="inlineStr">
        <is>
          <t>No</t>
        </is>
      </c>
      <c r="B16" s="10" t="inlineStr">
        <is>
          <t>Pihak</t>
        </is>
      </c>
      <c r="C16" s="10" t="inlineStr">
        <is>
          <t>Saldo</t>
        </is>
      </c>
      <c r="D16" s="10" t="inlineStr">
        <is>
          <t>0-30 Hari</t>
        </is>
      </c>
      <c r="E16" s="10" t="inlineStr">
        <is>
          <t>31-60 Hari</t>
        </is>
      </c>
      <c r="F16" s="10" t="inlineStr">
        <is>
          <t>61-90 Hari</t>
        </is>
      </c>
      <c r="G16" s="10" t="inlineStr">
        <is>
          <t>&gt; 90 Hari</t>
        </is>
      </c>
      <c r="H16" s="10" t="inlineStr">
        <is>
          <t>Cadangan Dihitung</t>
        </is>
      </c>
      <c r="I16" s="10" t="inlineStr">
        <is>
          <t>Cadangan per Buku</t>
        </is>
      </c>
      <c r="J16" s="10" t="inlineStr">
        <is>
          <t>Selisih</t>
        </is>
      </c>
    </row>
    <row r="17">
      <c r="A17" s="11" t="n">
        <v>1</v>
      </c>
      <c r="B17" s="6" t="n"/>
      <c r="C17" s="12">
        <f>SUM(D17:G17)</f>
        <v/>
      </c>
      <c r="D17" s="8" t="n"/>
      <c r="E17" s="8" t="n"/>
      <c r="F17" s="8" t="n"/>
      <c r="G17" s="8" t="n"/>
      <c r="H17" s="12">
        <f>D17*$D$15+E17*$E$15+F17*$F$15+G17*$G$15</f>
        <v/>
      </c>
      <c r="I17" s="8" t="n"/>
      <c r="J17" s="12">
        <f>IF(I17="","",H17-I17)</f>
        <v/>
      </c>
    </row>
    <row r="18">
      <c r="A18" s="11" t="n">
        <v>2</v>
      </c>
      <c r="B18" s="6" t="n"/>
      <c r="C18" s="12">
        <f>SUM(D18:G18)</f>
        <v/>
      </c>
      <c r="D18" s="8" t="n"/>
      <c r="E18" s="8" t="n"/>
      <c r="F18" s="8" t="n"/>
      <c r="G18" s="8" t="n"/>
      <c r="H18" s="12">
        <f>D18*$D$15+E18*$E$15+F18*$F$15+G18*$G$15</f>
        <v/>
      </c>
      <c r="I18" s="8" t="n"/>
      <c r="J18" s="12">
        <f>IF(I18="","",H18-I18)</f>
        <v/>
      </c>
    </row>
    <row r="19">
      <c r="A19" s="11" t="n">
        <v>3</v>
      </c>
      <c r="B19" s="6" t="n"/>
      <c r="C19" s="12">
        <f>SUM(D19:G19)</f>
        <v/>
      </c>
      <c r="D19" s="8" t="n"/>
      <c r="E19" s="8" t="n"/>
      <c r="F19" s="8" t="n"/>
      <c r="G19" s="8" t="n"/>
      <c r="H19" s="12">
        <f>D19*$D$15+E19*$E$15+F19*$F$15+G19*$G$15</f>
        <v/>
      </c>
      <c r="I19" s="8" t="n"/>
      <c r="J19" s="12">
        <f>IF(I19="","",H19-I19)</f>
        <v/>
      </c>
    </row>
    <row r="20">
      <c r="A20" s="11" t="n">
        <v>4</v>
      </c>
      <c r="B20" s="6" t="n"/>
      <c r="C20" s="12">
        <f>SUM(D20:G20)</f>
        <v/>
      </c>
      <c r="D20" s="8" t="n"/>
      <c r="E20" s="8" t="n"/>
      <c r="F20" s="8" t="n"/>
      <c r="G20" s="8" t="n"/>
      <c r="H20" s="12">
        <f>D20*$D$15+E20*$E$15+F20*$F$15+G20*$G$15</f>
        <v/>
      </c>
      <c r="I20" s="8" t="n"/>
      <c r="J20" s="12">
        <f>IF(I20="","",H20-I20)</f>
        <v/>
      </c>
    </row>
    <row r="21">
      <c r="A21" s="11" t="n">
        <v>5</v>
      </c>
      <c r="B21" s="6" t="n"/>
      <c r="C21" s="12">
        <f>SUM(D21:G21)</f>
        <v/>
      </c>
      <c r="D21" s="8" t="n"/>
      <c r="E21" s="8" t="n"/>
      <c r="F21" s="8" t="n"/>
      <c r="G21" s="8" t="n"/>
      <c r="H21" s="12">
        <f>D21*$D$15+E21*$E$15+F21*$F$15+G21*$G$15</f>
        <v/>
      </c>
      <c r="I21" s="8" t="n"/>
      <c r="J21" s="12">
        <f>IF(I21="","",H21-I21)</f>
        <v/>
      </c>
    </row>
    <row r="22">
      <c r="A22" s="11" t="n">
        <v>6</v>
      </c>
      <c r="B22" s="6" t="n"/>
      <c r="C22" s="12">
        <f>SUM(D22:G22)</f>
        <v/>
      </c>
      <c r="D22" s="8" t="n"/>
      <c r="E22" s="8" t="n"/>
      <c r="F22" s="8" t="n"/>
      <c r="G22" s="8" t="n"/>
      <c r="H22" s="12">
        <f>D22*$D$15+E22*$E$15+F22*$F$15+G22*$G$15</f>
        <v/>
      </c>
      <c r="I22" s="8" t="n"/>
      <c r="J22" s="12">
        <f>IF(I22="","",H22-I22)</f>
        <v/>
      </c>
    </row>
    <row r="23">
      <c r="A23" s="11" t="n">
        <v>7</v>
      </c>
      <c r="B23" s="6" t="n"/>
      <c r="C23" s="12">
        <f>SUM(D23:G23)</f>
        <v/>
      </c>
      <c r="D23" s="8" t="n"/>
      <c r="E23" s="8" t="n"/>
      <c r="F23" s="8" t="n"/>
      <c r="G23" s="8" t="n"/>
      <c r="H23" s="12">
        <f>D23*$D$15+E23*$E$15+F23*$F$15+G23*$G$15</f>
        <v/>
      </c>
      <c r="I23" s="8" t="n"/>
      <c r="J23" s="12">
        <f>IF(I23="","",H23-I23)</f>
        <v/>
      </c>
    </row>
    <row r="24">
      <c r="A24" s="11" t="n">
        <v>8</v>
      </c>
      <c r="B24" s="6" t="n"/>
      <c r="C24" s="12">
        <f>SUM(D24:G24)</f>
        <v/>
      </c>
      <c r="D24" s="8" t="n"/>
      <c r="E24" s="8" t="n"/>
      <c r="F24" s="8" t="n"/>
      <c r="G24" s="8" t="n"/>
      <c r="H24" s="12">
        <f>D24*$D$15+E24*$E$15+F24*$F$15+G24*$G$15</f>
        <v/>
      </c>
      <c r="I24" s="8" t="n"/>
      <c r="J24" s="12">
        <f>IF(I24="","",H24-I24)</f>
        <v/>
      </c>
    </row>
    <row r="25">
      <c r="A25" s="11" t="n">
        <v>9</v>
      </c>
      <c r="B25" s="6" t="n"/>
      <c r="C25" s="12">
        <f>SUM(D25:G25)</f>
        <v/>
      </c>
      <c r="D25" s="8" t="n"/>
      <c r="E25" s="8" t="n"/>
      <c r="F25" s="8" t="n"/>
      <c r="G25" s="8" t="n"/>
      <c r="H25" s="12">
        <f>D25*$D$15+E25*$E$15+F25*$F$15+G25*$G$15</f>
        <v/>
      </c>
      <c r="I25" s="8" t="n"/>
      <c r="J25" s="12">
        <f>IF(I25="","",H25-I25)</f>
        <v/>
      </c>
    </row>
    <row r="26">
      <c r="A26" s="11" t="n">
        <v>10</v>
      </c>
      <c r="B26" s="6" t="n"/>
      <c r="C26" s="12">
        <f>SUM(D26:G26)</f>
        <v/>
      </c>
      <c r="D26" s="8" t="n"/>
      <c r="E26" s="8" t="n"/>
      <c r="F26" s="8" t="n"/>
      <c r="G26" s="8" t="n"/>
      <c r="H26" s="12">
        <f>D26*$D$15+E26*$E$15+F26*$F$15+G26*$G$15</f>
        <v/>
      </c>
      <c r="I26" s="8" t="n"/>
      <c r="J26" s="12">
        <f>IF(I26="","",H26-I26)</f>
        <v/>
      </c>
    </row>
    <row r="27">
      <c r="A27" s="11" t="n">
        <v>11</v>
      </c>
      <c r="B27" s="6" t="n"/>
      <c r="C27" s="12">
        <f>SUM(D27:G27)</f>
        <v/>
      </c>
      <c r="D27" s="8" t="n"/>
      <c r="E27" s="8" t="n"/>
      <c r="F27" s="8" t="n"/>
      <c r="G27" s="8" t="n"/>
      <c r="H27" s="12">
        <f>D27*$D$15+E27*$E$15+F27*$F$15+G27*$G$15</f>
        <v/>
      </c>
      <c r="I27" s="8" t="n"/>
      <c r="J27" s="12">
        <f>IF(I27="","",H27-I27)</f>
        <v/>
      </c>
    </row>
    <row r="28">
      <c r="A28" s="11" t="n">
        <v>12</v>
      </c>
      <c r="B28" s="6" t="n"/>
      <c r="C28" s="12">
        <f>SUM(D28:G28)</f>
        <v/>
      </c>
      <c r="D28" s="8" t="n"/>
      <c r="E28" s="8" t="n"/>
      <c r="F28" s="8" t="n"/>
      <c r="G28" s="8" t="n"/>
      <c r="H28" s="12">
        <f>D28*$D$15+E28*$E$15+F28*$F$15+G28*$G$15</f>
        <v/>
      </c>
      <c r="I28" s="8" t="n"/>
      <c r="J28" s="12">
        <f>IF(I28="","",H28-I28)</f>
        <v/>
      </c>
    </row>
    <row r="29">
      <c r="A29" s="11" t="n">
        <v>13</v>
      </c>
      <c r="B29" s="6" t="n"/>
      <c r="C29" s="12">
        <f>SUM(D29:G29)</f>
        <v/>
      </c>
      <c r="D29" s="8" t="n"/>
      <c r="E29" s="8" t="n"/>
      <c r="F29" s="8" t="n"/>
      <c r="G29" s="8" t="n"/>
      <c r="H29" s="12">
        <f>D29*$D$15+E29*$E$15+F29*$F$15+G29*$G$15</f>
        <v/>
      </c>
      <c r="I29" s="8" t="n"/>
      <c r="J29" s="12">
        <f>IF(I29="","",H29-I29)</f>
        <v/>
      </c>
    </row>
    <row r="30">
      <c r="A30" s="11" t="n">
        <v>14</v>
      </c>
      <c r="B30" s="6" t="n"/>
      <c r="C30" s="12">
        <f>SUM(D30:G30)</f>
        <v/>
      </c>
      <c r="D30" s="8" t="n"/>
      <c r="E30" s="8" t="n"/>
      <c r="F30" s="8" t="n"/>
      <c r="G30" s="8" t="n"/>
      <c r="H30" s="12">
        <f>D30*$D$15+E30*$E$15+F30*$F$15+G30*$G$15</f>
        <v/>
      </c>
      <c r="I30" s="8" t="n"/>
      <c r="J30" s="12">
        <f>IF(I30="","",H30-I30)</f>
        <v/>
      </c>
    </row>
    <row r="31">
      <c r="A31" s="11" t="n">
        <v>15</v>
      </c>
      <c r="B31" s="6" t="n"/>
      <c r="C31" s="12">
        <f>SUM(D31:G31)</f>
        <v/>
      </c>
      <c r="D31" s="8" t="n"/>
      <c r="E31" s="8" t="n"/>
      <c r="F31" s="8" t="n"/>
      <c r="G31" s="8" t="n"/>
      <c r="H31" s="12">
        <f>D31*$D$15+E31*$E$15+F31*$F$15+G31*$G$15</f>
        <v/>
      </c>
      <c r="I31" s="8" t="n"/>
      <c r="J31" s="12">
        <f>IF(I31="","",H31-I31)</f>
        <v/>
      </c>
    </row>
    <row r="32">
      <c r="A32" s="11" t="n">
        <v>16</v>
      </c>
      <c r="B32" s="6" t="n"/>
      <c r="C32" s="12">
        <f>SUM(D32:G32)</f>
        <v/>
      </c>
      <c r="D32" s="8" t="n"/>
      <c r="E32" s="8" t="n"/>
      <c r="F32" s="8" t="n"/>
      <c r="G32" s="8" t="n"/>
      <c r="H32" s="12">
        <f>D32*$D$15+E32*$E$15+F32*$F$15+G32*$G$15</f>
        <v/>
      </c>
      <c r="I32" s="8" t="n"/>
      <c r="J32" s="12">
        <f>IF(I32="","",H32-I32)</f>
        <v/>
      </c>
    </row>
    <row r="33">
      <c r="A33" s="11" t="n">
        <v>17</v>
      </c>
      <c r="B33" s="6" t="n"/>
      <c r="C33" s="12">
        <f>SUM(D33:G33)</f>
        <v/>
      </c>
      <c r="D33" s="8" t="n"/>
      <c r="E33" s="8" t="n"/>
      <c r="F33" s="8" t="n"/>
      <c r="G33" s="8" t="n"/>
      <c r="H33" s="12">
        <f>D33*$D$15+E33*$E$15+F33*$F$15+G33*$G$15</f>
        <v/>
      </c>
      <c r="I33" s="8" t="n"/>
      <c r="J33" s="12">
        <f>IF(I33="","",H33-I33)</f>
        <v/>
      </c>
    </row>
    <row r="34">
      <c r="A34" s="11" t="n">
        <v>18</v>
      </c>
      <c r="B34" s="6" t="n"/>
      <c r="C34" s="12">
        <f>SUM(D34:G34)</f>
        <v/>
      </c>
      <c r="D34" s="8" t="n"/>
      <c r="E34" s="8" t="n"/>
      <c r="F34" s="8" t="n"/>
      <c r="G34" s="8" t="n"/>
      <c r="H34" s="12">
        <f>D34*$D$15+E34*$E$15+F34*$F$15+G34*$G$15</f>
        <v/>
      </c>
      <c r="I34" s="8" t="n"/>
      <c r="J34" s="12">
        <f>IF(I34="","",H34-I34)</f>
        <v/>
      </c>
    </row>
    <row r="35">
      <c r="A35" s="11" t="n">
        <v>19</v>
      </c>
      <c r="B35" s="6" t="n"/>
      <c r="C35" s="12">
        <f>SUM(D35:G35)</f>
        <v/>
      </c>
      <c r="D35" s="8" t="n"/>
      <c r="E35" s="8" t="n"/>
      <c r="F35" s="8" t="n"/>
      <c r="G35" s="8" t="n"/>
      <c r="H35" s="12">
        <f>D35*$D$15+E35*$E$15+F35*$F$15+G35*$G$15</f>
        <v/>
      </c>
      <c r="I35" s="8" t="n"/>
      <c r="J35" s="12">
        <f>IF(I35="","",H35-I35)</f>
        <v/>
      </c>
    </row>
    <row r="36">
      <c r="A36" s="11" t="n">
        <v>20</v>
      </c>
      <c r="B36" s="6" t="n"/>
      <c r="C36" s="12">
        <f>SUM(D36:G36)</f>
        <v/>
      </c>
      <c r="D36" s="8" t="n"/>
      <c r="E36" s="8" t="n"/>
      <c r="F36" s="8" t="n"/>
      <c r="G36" s="8" t="n"/>
      <c r="H36" s="12">
        <f>D36*$D$15+E36*$E$15+F36*$F$15+G36*$G$15</f>
        <v/>
      </c>
      <c r="I36" s="8" t="n"/>
      <c r="J36" s="12">
        <f>IF(I36="","",H36-I36)</f>
        <v/>
      </c>
    </row>
    <row r="37">
      <c r="B37" s="9" t="inlineStr">
        <is>
          <t>Jumlah</t>
        </is>
      </c>
      <c r="C37" s="14">
        <f>SUM(C17:C36)</f>
        <v/>
      </c>
      <c r="D37" s="14">
        <f>SUM(D17:D36)</f>
        <v/>
      </c>
      <c r="E37" s="14">
        <f>SUM(E17:E36)</f>
        <v/>
      </c>
      <c r="F37" s="14">
        <f>SUM(F17:F36)</f>
        <v/>
      </c>
      <c r="G37" s="14">
        <f>SUM(G17:G36)</f>
        <v/>
      </c>
      <c r="H37" s="14">
        <f>SUM(H17:H36)</f>
        <v/>
      </c>
      <c r="I37" s="14">
        <f>SUM(I17:I36)</f>
        <v/>
      </c>
      <c r="J37" s="14">
        <f>SUM(J17:J36)</f>
        <v/>
      </c>
    </row>
    <row r="39">
      <c r="A39" s="28" t="inlineStr">
        <is>
          <t>Kesimpulan Pengujian</t>
        </is>
      </c>
      <c r="C39" s="24" t="n"/>
    </row>
    <row r="40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9:J9"/>
    <mergeCell ref="C39:J40"/>
    <mergeCell ref="E8:J8"/>
    <mergeCell ref="A12:J12"/>
    <mergeCell ref="E7:J7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E.6 · Penyesuaian Lain</t>
        </is>
      </c>
      <c r="F2" s="3" t="inlineStr">
        <is>
          <t>Indeks KK</t>
        </is>
      </c>
      <c r="G2" s="4" t="inlineStr">
        <is>
          <t>E.6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Reviu nota kredit, retur, dan potongan setelah tanggal neraca yang berkaitan dengan penjualan periode berjalan.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E.7 · Piutang Mata Uang Asing</t>
        </is>
      </c>
      <c r="F2" s="3" t="inlineStr">
        <is>
          <t>Indeks KK</t>
        </is>
      </c>
      <c r="G2" s="4" t="inlineStr">
        <is>
          <t>E.7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Rekalkulasi penjabaran piutang valuta asing dengan kurs per tanggal neraca.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E.8 · Credit &amp; Unusual Balance</t>
        </is>
      </c>
      <c r="F2" s="3" t="inlineStr">
        <is>
          <t>Indeks KK</t>
        </is>
      </c>
      <c r="G2" s="4" t="inlineStr">
        <is>
          <t>E.8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Identifikasi saldo kredit, saldo pihak berelasi, dan saldo tidak biasa; reklasifikasi bila perlu.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30" customWidth="1" min="8" max="8"/>
    <col width="10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E.9 · Konfirmasi Piutang (SA 505)</t>
        </is>
      </c>
      <c r="H2" s="3" t="inlineStr">
        <is>
          <t>Indeks KK</t>
        </is>
      </c>
      <c r="I2" s="4" t="inlineStr">
        <is>
          <t>E.9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R Hak dan Kewajiban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Kirim konfirmasi positif atas sampel saldo; lakukan prosedur alternatif (penerimaan berikutnya, dokumen pengiriman) untuk yang tidak kembali.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Pihak Dikonfirmasi</t>
        </is>
      </c>
      <c r="C15" s="10" t="inlineStr">
        <is>
          <t>Saldo per Buku</t>
        </is>
      </c>
      <c r="D15" s="10" t="inlineStr">
        <is>
          <t>Tgl Kirim</t>
        </is>
      </c>
      <c r="E15" s="10" t="inlineStr">
        <is>
          <t>Tgl Terima</t>
        </is>
      </c>
      <c r="F15" s="10" t="inlineStr">
        <is>
          <t>Saldo per Konfirmasi</t>
        </is>
      </c>
      <c r="G15" s="10" t="inlineStr">
        <is>
          <t>Selisih</t>
        </is>
      </c>
      <c r="H15" s="10" t="inlineStr">
        <is>
          <t>Penjelasan / Prosedur Alternatif</t>
        </is>
      </c>
      <c r="I15" s="10" t="inlineStr">
        <is>
          <t>Tickmark</t>
        </is>
      </c>
    </row>
    <row r="16">
      <c r="A16" s="11" t="n">
        <v>1</v>
      </c>
      <c r="B16" s="6" t="n"/>
      <c r="C16" s="8" t="n"/>
      <c r="D16" s="29" t="n"/>
      <c r="E16" s="29" t="n"/>
      <c r="F16" s="8" t="n"/>
      <c r="G16" s="12">
        <f>IF(F16="","",F16-C16)</f>
        <v/>
      </c>
      <c r="H16" s="6" t="n"/>
      <c r="I16" s="6" t="n"/>
    </row>
    <row r="17">
      <c r="A17" s="11" t="n">
        <v>2</v>
      </c>
      <c r="B17" s="6" t="n"/>
      <c r="C17" s="8" t="n"/>
      <c r="D17" s="29" t="n"/>
      <c r="E17" s="29" t="n"/>
      <c r="F17" s="8" t="n"/>
      <c r="G17" s="12">
        <f>IF(F17="","",F17-C17)</f>
        <v/>
      </c>
      <c r="H17" s="6" t="n"/>
      <c r="I17" s="6" t="n"/>
    </row>
    <row r="18">
      <c r="A18" s="11" t="n">
        <v>3</v>
      </c>
      <c r="B18" s="6" t="n"/>
      <c r="C18" s="8" t="n"/>
      <c r="D18" s="29" t="n"/>
      <c r="E18" s="29" t="n"/>
      <c r="F18" s="8" t="n"/>
      <c r="G18" s="12">
        <f>IF(F18="","",F18-C18)</f>
        <v/>
      </c>
      <c r="H18" s="6" t="n"/>
      <c r="I18" s="6" t="n"/>
    </row>
    <row r="19">
      <c r="A19" s="11" t="n">
        <v>4</v>
      </c>
      <c r="B19" s="6" t="n"/>
      <c r="C19" s="8" t="n"/>
      <c r="D19" s="29" t="n"/>
      <c r="E19" s="29" t="n"/>
      <c r="F19" s="8" t="n"/>
      <c r="G19" s="12">
        <f>IF(F19="","",F19-C19)</f>
        <v/>
      </c>
      <c r="H19" s="6" t="n"/>
      <c r="I19" s="6" t="n"/>
    </row>
    <row r="20">
      <c r="A20" s="11" t="n">
        <v>5</v>
      </c>
      <c r="B20" s="6" t="n"/>
      <c r="C20" s="8" t="n"/>
      <c r="D20" s="29" t="n"/>
      <c r="E20" s="29" t="n"/>
      <c r="F20" s="8" t="n"/>
      <c r="G20" s="12">
        <f>IF(F20="","",F20-C20)</f>
        <v/>
      </c>
      <c r="H20" s="6" t="n"/>
      <c r="I20" s="6" t="n"/>
    </row>
    <row r="21">
      <c r="A21" s="11" t="n">
        <v>6</v>
      </c>
      <c r="B21" s="6" t="n"/>
      <c r="C21" s="8" t="n"/>
      <c r="D21" s="29" t="n"/>
      <c r="E21" s="29" t="n"/>
      <c r="F21" s="8" t="n"/>
      <c r="G21" s="12">
        <f>IF(F21="","",F21-C21)</f>
        <v/>
      </c>
      <c r="H21" s="6" t="n"/>
      <c r="I21" s="6" t="n"/>
    </row>
    <row r="22">
      <c r="A22" s="11" t="n">
        <v>7</v>
      </c>
      <c r="B22" s="6" t="n"/>
      <c r="C22" s="8" t="n"/>
      <c r="D22" s="29" t="n"/>
      <c r="E22" s="29" t="n"/>
      <c r="F22" s="8" t="n"/>
      <c r="G22" s="12">
        <f>IF(F22="","",F22-C22)</f>
        <v/>
      </c>
      <c r="H22" s="6" t="n"/>
      <c r="I22" s="6" t="n"/>
    </row>
    <row r="23">
      <c r="A23" s="11" t="n">
        <v>8</v>
      </c>
      <c r="B23" s="6" t="n"/>
      <c r="C23" s="8" t="n"/>
      <c r="D23" s="29" t="n"/>
      <c r="E23" s="29" t="n"/>
      <c r="F23" s="8" t="n"/>
      <c r="G23" s="12">
        <f>IF(F23="","",F23-C23)</f>
        <v/>
      </c>
      <c r="H23" s="6" t="n"/>
      <c r="I23" s="6" t="n"/>
    </row>
    <row r="24">
      <c r="A24" s="11" t="n">
        <v>9</v>
      </c>
      <c r="B24" s="6" t="n"/>
      <c r="C24" s="8" t="n"/>
      <c r="D24" s="29" t="n"/>
      <c r="E24" s="29" t="n"/>
      <c r="F24" s="8" t="n"/>
      <c r="G24" s="12">
        <f>IF(F24="","",F24-C24)</f>
        <v/>
      </c>
      <c r="H24" s="6" t="n"/>
      <c r="I24" s="6" t="n"/>
    </row>
    <row r="25">
      <c r="A25" s="11" t="n">
        <v>10</v>
      </c>
      <c r="B25" s="6" t="n"/>
      <c r="C25" s="8" t="n"/>
      <c r="D25" s="29" t="n"/>
      <c r="E25" s="29" t="n"/>
      <c r="F25" s="8" t="n"/>
      <c r="G25" s="12">
        <f>IF(F25="","",F25-C25)</f>
        <v/>
      </c>
      <c r="H25" s="6" t="n"/>
      <c r="I25" s="6" t="n"/>
    </row>
    <row r="26">
      <c r="A26" s="11" t="n">
        <v>11</v>
      </c>
      <c r="B26" s="6" t="n"/>
      <c r="C26" s="8" t="n"/>
      <c r="D26" s="29" t="n"/>
      <c r="E26" s="29" t="n"/>
      <c r="F26" s="8" t="n"/>
      <c r="G26" s="12">
        <f>IF(F26="","",F26-C26)</f>
        <v/>
      </c>
      <c r="H26" s="6" t="n"/>
      <c r="I26" s="6" t="n"/>
    </row>
    <row r="27">
      <c r="A27" s="11" t="n">
        <v>12</v>
      </c>
      <c r="B27" s="6" t="n"/>
      <c r="C27" s="8" t="n"/>
      <c r="D27" s="29" t="n"/>
      <c r="E27" s="29" t="n"/>
      <c r="F27" s="8" t="n"/>
      <c r="G27" s="12">
        <f>IF(F27="","",F27-C27)</f>
        <v/>
      </c>
      <c r="H27" s="6" t="n"/>
      <c r="I27" s="6" t="n"/>
    </row>
    <row r="28">
      <c r="A28" s="11" t="n">
        <v>13</v>
      </c>
      <c r="B28" s="6" t="n"/>
      <c r="C28" s="8" t="n"/>
      <c r="D28" s="29" t="n"/>
      <c r="E28" s="29" t="n"/>
      <c r="F28" s="8" t="n"/>
      <c r="G28" s="12">
        <f>IF(F28="","",F28-C28)</f>
        <v/>
      </c>
      <c r="H28" s="6" t="n"/>
      <c r="I28" s="6" t="n"/>
    </row>
    <row r="29">
      <c r="A29" s="11" t="n">
        <v>14</v>
      </c>
      <c r="B29" s="6" t="n"/>
      <c r="C29" s="8" t="n"/>
      <c r="D29" s="29" t="n"/>
      <c r="E29" s="29" t="n"/>
      <c r="F29" s="8" t="n"/>
      <c r="G29" s="12">
        <f>IF(F29="","",F29-C29)</f>
        <v/>
      </c>
      <c r="H29" s="6" t="n"/>
      <c r="I29" s="6" t="n"/>
    </row>
    <row r="30">
      <c r="A30" s="11" t="n">
        <v>15</v>
      </c>
      <c r="B30" s="6" t="n"/>
      <c r="C30" s="8" t="n"/>
      <c r="D30" s="29" t="n"/>
      <c r="E30" s="29" t="n"/>
      <c r="F30" s="8" t="n"/>
      <c r="G30" s="12">
        <f>IF(F30="","",F30-C30)</f>
        <v/>
      </c>
      <c r="H30" s="6" t="n"/>
      <c r="I30" s="6" t="n"/>
    </row>
    <row r="31">
      <c r="B31" s="9" t="inlineStr">
        <is>
          <t>Jumlah</t>
        </is>
      </c>
      <c r="C31" s="14">
        <f>SUM(C16:C30)</f>
        <v/>
      </c>
      <c r="F31" s="14">
        <f>SUM(F16:F30)</f>
        <v/>
      </c>
      <c r="G31" s="14">
        <f>SUM(G16:G30)</f>
        <v/>
      </c>
    </row>
    <row r="32">
      <c r="B32" s="11" t="inlineStr">
        <is>
          <t>Konfirmasi Kembali (%)</t>
        </is>
      </c>
      <c r="C32" s="15">
        <f>IF(COUNTA(B16:B30)=0,"",COUNTA(E16:E30)/COUNTA(B16:B30))</f>
        <v/>
      </c>
    </row>
    <row r="34">
      <c r="A34" s="28" t="inlineStr">
        <is>
          <t>Kesimpulan Pengujian</t>
        </is>
      </c>
      <c r="C34" s="24" t="n"/>
    </row>
    <row r="3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4:I35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I16:I30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2026-10-18T07:48:42Z</dcterms:created>
  <dcterms:modified xmlns:dcterms="http://purl.org/dc/terms/" xmlns:xsi="http://www.w3.org/2001/XMLSchema-instance" xsi:type="dcterms:W3CDTF">2026-10-18T07:48:42Z</dcterms:modified>
</cp:coreProperties>
</file>