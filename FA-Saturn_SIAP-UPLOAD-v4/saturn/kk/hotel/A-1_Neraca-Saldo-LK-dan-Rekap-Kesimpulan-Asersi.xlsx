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1 TB &amp; Rekap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5" customWidth="1" min="4" max="4"/>
    <col width="13" customWidth="1" min="5" max="5"/>
    <col width="15" customWidth="1" min="6" max="6"/>
    <col width="9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28" customWidth="1" min="16" max="1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Neraca Saldo, LK, dan Rekap Kesimpulan Asersi</t>
        </is>
      </c>
      <c r="O2" s="3" t="inlineStr">
        <is>
          <t>Indeks KK</t>
        </is>
      </c>
      <c r="P2" s="4" t="inlineStr">
        <is>
          <t>A-1</t>
        </is>
      </c>
    </row>
    <row r="3" ht="26" customHeight="1">
      <c r="C3" s="3" t="inlineStr">
        <is>
          <t>Klien</t>
        </is>
      </c>
      <c r="D3" s="5" t="n"/>
      <c r="O3" s="3" t="inlineStr">
        <is>
          <t>Disusun/Tgl</t>
        </is>
      </c>
      <c r="P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O4" s="3" t="inlineStr">
        <is>
          <t>Direview/Tgl</t>
        </is>
      </c>
      <c r="P4" s="6" t="n"/>
    </row>
    <row r="6">
      <c r="A6" s="7" t="inlineStr">
        <is>
          <t>Parameter</t>
        </is>
      </c>
    </row>
    <row r="7">
      <c r="A7" s="3" t="inlineStr">
        <is>
          <t>PM Final (Rp)</t>
        </is>
      </c>
      <c r="C7" s="8" t="n"/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2024 Audit</t>
        </is>
      </c>
      <c r="D9" s="9" t="inlineStr">
        <is>
          <t>2025 per Buku</t>
        </is>
      </c>
      <c r="E9" s="9" t="inlineStr">
        <is>
          <t>AJE</t>
        </is>
      </c>
      <c r="F9" s="9" t="inlineStr">
        <is>
          <t>2025 Audit</t>
        </is>
      </c>
      <c r="G9" s="9" t="inlineStr">
        <is>
          <t>%</t>
        </is>
      </c>
      <c r="H9" s="9" t="inlineStr">
        <is>
          <t>M/TM</t>
        </is>
      </c>
      <c r="I9" s="9" t="inlineStr">
        <is>
          <t>CRA</t>
        </is>
      </c>
      <c r="J9" s="9" t="inlineStr">
        <is>
          <t>E/O</t>
        </is>
      </c>
      <c r="K9" s="9" t="inlineStr">
        <is>
          <t>V/M</t>
        </is>
      </c>
      <c r="L9" s="9" t="inlineStr">
        <is>
          <t>C</t>
        </is>
      </c>
      <c r="M9" s="9" t="inlineStr">
        <is>
          <t>R</t>
        </is>
      </c>
      <c r="N9" s="9" t="inlineStr">
        <is>
          <t>P</t>
        </is>
      </c>
      <c r="O9" s="9" t="inlineStr">
        <is>
          <t>Ref AJE</t>
        </is>
      </c>
      <c r="P9" s="9" t="inlineStr">
        <is>
          <t>Kesimpulan Akun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8" t="n"/>
      <c r="E10" s="8" t="n"/>
      <c r="F10" s="11">
        <f>D10+E10</f>
        <v/>
      </c>
      <c r="G10" s="12">
        <f>IF(C10=0,"",(F10-C10)/C10)</f>
        <v/>
      </c>
      <c r="H10" s="13">
        <f>IF($C$7="","",IF(ABS(F10)&gt;=$C$7,"M","TM"))</f>
        <v/>
      </c>
      <c r="I10" s="6" t="n"/>
      <c r="J10" s="6" t="inlineStr">
        <is>
          <t>BD</t>
        </is>
      </c>
      <c r="K10" s="6" t="inlineStr">
        <is>
          <t>BD</t>
        </is>
      </c>
      <c r="L10" s="6" t="inlineStr">
        <is>
          <t>BD</t>
        </is>
      </c>
      <c r="M10" s="6" t="inlineStr">
        <is>
          <t>BD</t>
        </is>
      </c>
      <c r="N10" s="6" t="inlineStr">
        <is>
          <t>BD</t>
        </is>
      </c>
      <c r="O10" s="6" t="n"/>
      <c r="P10" s="13">
        <f>IF(COUNTIF(J10:N10,"TT")&gt;0,"Belum terpenuhi",IF(COUNTIF(J10:N10,"BD")+COUNTBLANK(J10:N10)&gt;0,"Pengujian belum selesai",IF(COUNTIF(J10:N10,"T-K")&gt;0,"Wajar setelah penyesuaian audit","Wajar, tidak ada salah saji")))</f>
        <v/>
      </c>
    </row>
    <row r="11">
      <c r="A11" s="10" t="inlineStr">
        <is>
          <t>E</t>
        </is>
      </c>
      <c r="B11" s="6" t="inlineStr">
        <is>
          <t>Piutang Usaha (OTA, Travel Agent, Korporat)</t>
        </is>
      </c>
      <c r="C11" s="8" t="n"/>
      <c r="D11" s="8" t="n"/>
      <c r="E11" s="8" t="n"/>
      <c r="F11" s="11">
        <f>D11+E11</f>
        <v/>
      </c>
      <c r="G11" s="12">
        <f>IF(C11=0,"",(F11-C11)/C11)</f>
        <v/>
      </c>
      <c r="H11" s="13">
        <f>IF($C$7="","",IF(ABS(F11)&gt;=$C$7,"M","TM"))</f>
        <v/>
      </c>
      <c r="I11" s="6" t="n"/>
      <c r="J11" s="6" t="inlineStr">
        <is>
          <t>BD</t>
        </is>
      </c>
      <c r="K11" s="6" t="inlineStr">
        <is>
          <t>BD</t>
        </is>
      </c>
      <c r="L11" s="6" t="inlineStr">
        <is>
          <t>BD</t>
        </is>
      </c>
      <c r="M11" s="6" t="inlineStr">
        <is>
          <t>BD</t>
        </is>
      </c>
      <c r="N11" s="6" t="inlineStr">
        <is>
          <t>BD</t>
        </is>
      </c>
      <c r="O11" s="6" t="n"/>
      <c r="P11" s="13">
        <f>IF(COUNTIF(J11:N11,"TT")&gt;0,"Belum terpenuhi",IF(COUNTIF(J11:N11,"BD")+COUNTBLANK(J11:N11)&gt;0,"Pengujian belum selesai",IF(COUNTIF(J11:N11,"T-K")&gt;0,"Wajar setelah penyesuaian audit","Wajar, tidak ada salah saji")))</f>
        <v/>
      </c>
    </row>
    <row r="12">
      <c r="A12" s="10" t="inlineStr">
        <is>
          <t>F</t>
        </is>
      </c>
      <c r="B12" s="6" t="inlineStr">
        <is>
          <t>Persediaan F&amp;B dan Amenities</t>
        </is>
      </c>
      <c r="C12" s="8" t="n"/>
      <c r="D12" s="8" t="n"/>
      <c r="E12" s="8" t="n"/>
      <c r="F12" s="11">
        <f>D12+E12</f>
        <v/>
      </c>
      <c r="G12" s="12">
        <f>IF(C12=0,"",(F12-C12)/C12)</f>
        <v/>
      </c>
      <c r="H12" s="13">
        <f>IF($C$7="","",IF(ABS(F12)&gt;=$C$7,"M","TM"))</f>
        <v/>
      </c>
      <c r="I12" s="6" t="n"/>
      <c r="J12" s="6" t="inlineStr">
        <is>
          <t>BD</t>
        </is>
      </c>
      <c r="K12" s="6" t="inlineStr">
        <is>
          <t>BD</t>
        </is>
      </c>
      <c r="L12" s="6" t="inlineStr">
        <is>
          <t>BD</t>
        </is>
      </c>
      <c r="M12" s="6" t="inlineStr">
        <is>
          <t>BD</t>
        </is>
      </c>
      <c r="N12" s="6" t="inlineStr">
        <is>
          <t>BD</t>
        </is>
      </c>
      <c r="O12" s="6" t="n"/>
      <c r="P12" s="13">
        <f>IF(COUNTIF(J12:N12,"TT")&gt;0,"Belum terpenuhi",IF(COUNTIF(J12:N12,"BD")+COUNTBLANK(J12:N12)&gt;0,"Pengujian belum selesai",IF(COUNTIF(J12:N12,"T-K")&gt;0,"Wajar setelah penyesuaian audit","Wajar, tidak ada salah saji")))</f>
        <v/>
      </c>
    </row>
    <row r="13">
      <c r="A13" s="10" t="inlineStr">
        <is>
          <t>G</t>
        </is>
      </c>
      <c r="B13" s="6" t="inlineStr">
        <is>
          <t>Biaya Dibayar Dimuka</t>
        </is>
      </c>
      <c r="C13" s="8" t="n"/>
      <c r="D13" s="8" t="n"/>
      <c r="E13" s="8" t="n"/>
      <c r="F13" s="11">
        <f>D13+E13</f>
        <v/>
      </c>
      <c r="G13" s="12">
        <f>IF(C13=0,"",(F13-C13)/C13)</f>
        <v/>
      </c>
      <c r="H13" s="13">
        <f>IF($C$7="","",IF(ABS(F13)&gt;=$C$7,"M","TM"))</f>
        <v/>
      </c>
      <c r="I13" s="6" t="n"/>
      <c r="J13" s="6" t="inlineStr">
        <is>
          <t>BD</t>
        </is>
      </c>
      <c r="K13" s="6" t="inlineStr">
        <is>
          <t>BD</t>
        </is>
      </c>
      <c r="L13" s="6" t="inlineStr">
        <is>
          <t>BD</t>
        </is>
      </c>
      <c r="M13" s="6" t="inlineStr">
        <is>
          <t>BD</t>
        </is>
      </c>
      <c r="N13" s="6" t="inlineStr">
        <is>
          <t>BD</t>
        </is>
      </c>
      <c r="O13" s="6" t="n"/>
      <c r="P13" s="13">
        <f>IF(COUNTIF(J13:N13,"TT")&gt;0,"Belum terpenuhi",IF(COUNTIF(J13:N13,"BD")+COUNTBLANK(J13:N13)&gt;0,"Pengujian belum selesai",IF(COUNTIF(J13:N13,"T-K")&gt;0,"Wajar setelah penyesuaian audit","Wajar, tidak ada salah saji")))</f>
        <v/>
      </c>
    </row>
    <row r="14">
      <c r="A14" s="10" t="inlineStr">
        <is>
          <t>K</t>
        </is>
      </c>
      <c r="B14" s="6" t="inlineStr">
        <is>
          <t>Aset Tetap</t>
        </is>
      </c>
      <c r="C14" s="8" t="n"/>
      <c r="D14" s="8" t="n"/>
      <c r="E14" s="8" t="n"/>
      <c r="F14" s="11">
        <f>D14+E14</f>
        <v/>
      </c>
      <c r="G14" s="12">
        <f>IF(C14=0,"",(F14-C14)/C14)</f>
        <v/>
      </c>
      <c r="H14" s="13">
        <f>IF($C$7="","",IF(ABS(F14)&gt;=$C$7,"M","TM"))</f>
        <v/>
      </c>
      <c r="I14" s="6" t="n"/>
      <c r="J14" s="6" t="inlineStr">
        <is>
          <t>BD</t>
        </is>
      </c>
      <c r="K14" s="6" t="inlineStr">
        <is>
          <t>BD</t>
        </is>
      </c>
      <c r="L14" s="6" t="inlineStr">
        <is>
          <t>BD</t>
        </is>
      </c>
      <c r="M14" s="6" t="inlineStr">
        <is>
          <t>BD</t>
        </is>
      </c>
      <c r="N14" s="6" t="inlineStr">
        <is>
          <t>BD</t>
        </is>
      </c>
      <c r="O14" s="6" t="n"/>
      <c r="P14" s="13">
        <f>IF(COUNTIF(J14:N14,"TT")&gt;0,"Belum terpenuhi",IF(COUNTIF(J14:N14,"BD")+COUNTBLANK(J14:N14)&gt;0,"Pengujian belum selesai",IF(COUNTIF(J14:N14,"T-K")&gt;0,"Wajar setelah penyesuaian audit","Wajar, tidak ada salah saji")))</f>
        <v/>
      </c>
    </row>
    <row r="15">
      <c r="A15" s="10" t="inlineStr">
        <is>
          <t>M</t>
        </is>
      </c>
      <c r="B15" s="6" t="inlineStr">
        <is>
          <t>Utang Bank</t>
        </is>
      </c>
      <c r="C15" s="8" t="n"/>
      <c r="D15" s="8" t="n"/>
      <c r="E15" s="8" t="n"/>
      <c r="F15" s="11">
        <f>D15+E15</f>
        <v/>
      </c>
      <c r="G15" s="12">
        <f>IF(C15=0,"",(F15-C15)/C15)</f>
        <v/>
      </c>
      <c r="H15" s="13">
        <f>IF($C$7="","",IF(ABS(F15)&gt;=$C$7,"M","TM"))</f>
        <v/>
      </c>
      <c r="I15" s="6" t="n"/>
      <c r="J15" s="6" t="inlineStr">
        <is>
          <t>BD</t>
        </is>
      </c>
      <c r="K15" s="6" t="inlineStr">
        <is>
          <t>BD</t>
        </is>
      </c>
      <c r="L15" s="6" t="inlineStr">
        <is>
          <t>BD</t>
        </is>
      </c>
      <c r="M15" s="6" t="inlineStr">
        <is>
          <t>BD</t>
        </is>
      </c>
      <c r="N15" s="6" t="inlineStr">
        <is>
          <t>BD</t>
        </is>
      </c>
      <c r="O15" s="6" t="n"/>
      <c r="P15" s="13">
        <f>IF(COUNTIF(J15:N15,"TT")&gt;0,"Belum terpenuhi",IF(COUNTIF(J15:N15,"BD")+COUNTBLANK(J15:N15)&gt;0,"Pengujian belum selesai",IF(COUNTIF(J15:N15,"T-K")&gt;0,"Wajar setelah penyesuaian audit","Wajar, tidak ada salah saji")))</f>
        <v/>
      </c>
    </row>
    <row r="16">
      <c r="A16" s="10" t="inlineStr">
        <is>
          <t>N</t>
        </is>
      </c>
      <c r="B16" s="6" t="inlineStr">
        <is>
          <t>Utang Usaha</t>
        </is>
      </c>
      <c r="C16" s="8" t="n"/>
      <c r="D16" s="8" t="n"/>
      <c r="E16" s="8" t="n"/>
      <c r="F16" s="11">
        <f>D16+E16</f>
        <v/>
      </c>
      <c r="G16" s="12">
        <f>IF(C16=0,"",(F16-C16)/C16)</f>
        <v/>
      </c>
      <c r="H16" s="13">
        <f>IF($C$7="","",IF(ABS(F16)&gt;=$C$7,"M","TM"))</f>
        <v/>
      </c>
      <c r="I16" s="6" t="n"/>
      <c r="J16" s="6" t="inlineStr">
        <is>
          <t>BD</t>
        </is>
      </c>
      <c r="K16" s="6" t="inlineStr">
        <is>
          <t>BD</t>
        </is>
      </c>
      <c r="L16" s="6" t="inlineStr">
        <is>
          <t>BD</t>
        </is>
      </c>
      <c r="M16" s="6" t="inlineStr">
        <is>
          <t>BD</t>
        </is>
      </c>
      <c r="N16" s="6" t="inlineStr">
        <is>
          <t>BD</t>
        </is>
      </c>
      <c r="O16" s="6" t="n"/>
      <c r="P16" s="13">
        <f>IF(COUNTIF(J16:N16,"TT")&gt;0,"Belum terpenuhi",IF(COUNTIF(J16:N16,"BD")+COUNTBLANK(J16:N16)&gt;0,"Pengujian belum selesai",IF(COUNTIF(J16:N16,"T-K")&gt;0,"Wajar setelah penyesuaian audit","Wajar, tidak ada salah saji")))</f>
        <v/>
      </c>
    </row>
    <row r="17">
      <c r="A17" s="10" t="inlineStr">
        <is>
          <t>O</t>
        </is>
      </c>
      <c r="B17" s="6" t="inlineStr">
        <is>
          <t>Utang Pajak (PBJT &amp; PPh)</t>
        </is>
      </c>
      <c r="C17" s="8" t="n"/>
      <c r="D17" s="8" t="n"/>
      <c r="E17" s="8" t="n"/>
      <c r="F17" s="11">
        <f>D17+E17</f>
        <v/>
      </c>
      <c r="G17" s="12">
        <f>IF(C17=0,"",(F17-C17)/C17)</f>
        <v/>
      </c>
      <c r="H17" s="13">
        <f>IF($C$7="","",IF(ABS(F17)&gt;=$C$7,"M","TM"))</f>
        <v/>
      </c>
      <c r="I17" s="6" t="n"/>
      <c r="J17" s="6" t="inlineStr">
        <is>
          <t>BD</t>
        </is>
      </c>
      <c r="K17" s="6" t="inlineStr">
        <is>
          <t>BD</t>
        </is>
      </c>
      <c r="L17" s="6" t="inlineStr">
        <is>
          <t>BD</t>
        </is>
      </c>
      <c r="M17" s="6" t="inlineStr">
        <is>
          <t>BD</t>
        </is>
      </c>
      <c r="N17" s="6" t="inlineStr">
        <is>
          <t>BD</t>
        </is>
      </c>
      <c r="O17" s="6" t="n"/>
      <c r="P17" s="13">
        <f>IF(COUNTIF(J17:N17,"TT")&gt;0,"Belum terpenuhi",IF(COUNTIF(J17:N17,"BD")+COUNTBLANK(J17:N17)&gt;0,"Pengujian belum selesai",IF(COUNTIF(J17:N17,"T-K")&gt;0,"Wajar setelah penyesuaian audit","Wajar, tidak ada salah saji")))</f>
        <v/>
      </c>
    </row>
    <row r="18">
      <c r="A18" s="10" t="inlineStr">
        <is>
          <t>P1</t>
        </is>
      </c>
      <c r="B18" s="6" t="inlineStr">
        <is>
          <t>Utang Biaya &amp; Service Charge</t>
        </is>
      </c>
      <c r="C18" s="8" t="n"/>
      <c r="D18" s="8" t="n"/>
      <c r="E18" s="8" t="n"/>
      <c r="F18" s="11">
        <f>D18+E18</f>
        <v/>
      </c>
      <c r="G18" s="12">
        <f>IF(C18=0,"",(F18-C18)/C18)</f>
        <v/>
      </c>
      <c r="H18" s="13">
        <f>IF($C$7="","",IF(ABS(F18)&gt;=$C$7,"M","TM"))</f>
        <v/>
      </c>
      <c r="I18" s="6" t="n"/>
      <c r="J18" s="6" t="inlineStr">
        <is>
          <t>BD</t>
        </is>
      </c>
      <c r="K18" s="6" t="inlineStr">
        <is>
          <t>BD</t>
        </is>
      </c>
      <c r="L18" s="6" t="inlineStr">
        <is>
          <t>BD</t>
        </is>
      </c>
      <c r="M18" s="6" t="inlineStr">
        <is>
          <t>BD</t>
        </is>
      </c>
      <c r="N18" s="6" t="inlineStr">
        <is>
          <t>BD</t>
        </is>
      </c>
      <c r="O18" s="6" t="n"/>
      <c r="P18" s="13">
        <f>IF(COUNTIF(J18:N18,"TT")&gt;0,"Belum terpenuhi",IF(COUNTIF(J18:N18,"BD")+COUNTBLANK(J18:N18)&gt;0,"Pengujian belum selesai",IF(COUNTIF(J18:N18,"T-K")&gt;0,"Wajar setelah penyesuaian audit","Wajar, tidak ada salah saji")))</f>
        <v/>
      </c>
    </row>
    <row r="19">
      <c r="A19" s="10" t="inlineStr">
        <is>
          <t>P2</t>
        </is>
      </c>
      <c r="B19" s="6" t="inlineStr">
        <is>
          <t>Deposit Tamu (Liabilitas Kontrak)</t>
        </is>
      </c>
      <c r="C19" s="8" t="n"/>
      <c r="D19" s="8" t="n"/>
      <c r="E19" s="8" t="n"/>
      <c r="F19" s="11">
        <f>D19+E19</f>
        <v/>
      </c>
      <c r="G19" s="12">
        <f>IF(C19=0,"",(F19-C19)/C19)</f>
        <v/>
      </c>
      <c r="H19" s="13">
        <f>IF($C$7="","",IF(ABS(F19)&gt;=$C$7,"M","TM"))</f>
        <v/>
      </c>
      <c r="I19" s="6" t="n"/>
      <c r="J19" s="6" t="inlineStr">
        <is>
          <t>BD</t>
        </is>
      </c>
      <c r="K19" s="6" t="inlineStr">
        <is>
          <t>BD</t>
        </is>
      </c>
      <c r="L19" s="6" t="inlineStr">
        <is>
          <t>BD</t>
        </is>
      </c>
      <c r="M19" s="6" t="inlineStr">
        <is>
          <t>BD</t>
        </is>
      </c>
      <c r="N19" s="6" t="inlineStr">
        <is>
          <t>BD</t>
        </is>
      </c>
      <c r="O19" s="6" t="n"/>
      <c r="P19" s="13">
        <f>IF(COUNTIF(J19:N19,"TT")&gt;0,"Belum terpenuhi",IF(COUNTIF(J19:N19,"BD")+COUNTBLANK(J19:N19)&gt;0,"Pengujian belum selesai",IF(COUNTIF(J19:N19,"T-K")&gt;0,"Wajar setelah penyesuaian audit","Wajar, tidak ada salah saji")))</f>
        <v/>
      </c>
    </row>
    <row r="20">
      <c r="A20" s="10" t="inlineStr">
        <is>
          <t>T</t>
        </is>
      </c>
      <c r="B20" s="6" t="inlineStr">
        <is>
          <t>Ekuitas</t>
        </is>
      </c>
      <c r="C20" s="8" t="n"/>
      <c r="D20" s="8" t="n"/>
      <c r="E20" s="8" t="n"/>
      <c r="F20" s="11">
        <f>D20+E20</f>
        <v/>
      </c>
      <c r="G20" s="12">
        <f>IF(C20=0,"",(F20-C20)/C20)</f>
        <v/>
      </c>
      <c r="H20" s="13">
        <f>IF($C$7="","",IF(ABS(F20)&gt;=$C$7,"M","TM"))</f>
        <v/>
      </c>
      <c r="I20" s="6" t="n"/>
      <c r="J20" s="6" t="inlineStr">
        <is>
          <t>BD</t>
        </is>
      </c>
      <c r="K20" s="6" t="inlineStr">
        <is>
          <t>BD</t>
        </is>
      </c>
      <c r="L20" s="6" t="inlineStr">
        <is>
          <t>BD</t>
        </is>
      </c>
      <c r="M20" s="6" t="inlineStr">
        <is>
          <t>BD</t>
        </is>
      </c>
      <c r="N20" s="6" t="inlineStr">
        <is>
          <t>BD</t>
        </is>
      </c>
      <c r="O20" s="6" t="n"/>
      <c r="P20" s="13">
        <f>IF(COUNTIF(J20:N20,"TT")&gt;0,"Belum terpenuhi",IF(COUNTIF(J20:N20,"BD")+COUNTBLANK(J20:N20)&gt;0,"Pengujian belum selesai",IF(COUNTIF(J20:N20,"T-K")&gt;0,"Wajar setelah penyesuaian audit","Wajar, tidak ada salah saji")))</f>
        <v/>
      </c>
    </row>
    <row r="21">
      <c r="A21" s="10" t="inlineStr">
        <is>
          <t>UA</t>
        </is>
      </c>
      <c r="B21" s="6" t="inlineStr">
        <is>
          <t>Pendapatan Kamar, F&amp;B, dan Lainnya</t>
        </is>
      </c>
      <c r="C21" s="8" t="n"/>
      <c r="D21" s="8" t="n"/>
      <c r="E21" s="8" t="n"/>
      <c r="F21" s="11">
        <f>D21+E21</f>
        <v/>
      </c>
      <c r="G21" s="12">
        <f>IF(C21=0,"",(F21-C21)/C21)</f>
        <v/>
      </c>
      <c r="H21" s="13">
        <f>IF($C$7="","",IF(ABS(F21)&gt;=$C$7,"M","TM"))</f>
        <v/>
      </c>
      <c r="I21" s="6" t="n"/>
      <c r="J21" s="6" t="inlineStr">
        <is>
          <t>BD</t>
        </is>
      </c>
      <c r="K21" s="6" t="inlineStr">
        <is>
          <t>BD</t>
        </is>
      </c>
      <c r="L21" s="6" t="inlineStr">
        <is>
          <t>BD</t>
        </is>
      </c>
      <c r="M21" s="13" t="inlineStr">
        <is>
          <t>n/a</t>
        </is>
      </c>
      <c r="N21" s="6" t="inlineStr">
        <is>
          <t>BD</t>
        </is>
      </c>
      <c r="O21" s="6" t="n"/>
      <c r="P21" s="13">
        <f>IF(COUNTIF(J21:N21,"TT")&gt;0,"Belum terpenuhi",IF(COUNTIF(J21:N21,"BD")+COUNTBLANK(J21:N21)&gt;0,"Pengujian belum selesai",IF(COUNTIF(J21:N21,"T-K")&gt;0,"Wajar setelah penyesuaian audit","Wajar, tidak ada salah saji")))</f>
        <v/>
      </c>
    </row>
    <row r="22">
      <c r="A22" s="10" t="inlineStr">
        <is>
          <t>VA</t>
        </is>
      </c>
      <c r="B22" s="6" t="inlineStr">
        <is>
          <t>Biaya Departemen Kamar &amp; F&amp;B</t>
        </is>
      </c>
      <c r="C22" s="8" t="n"/>
      <c r="D22" s="8" t="n"/>
      <c r="E22" s="8" t="n"/>
      <c r="F22" s="11">
        <f>D22+E22</f>
        <v/>
      </c>
      <c r="G22" s="12">
        <f>IF(C22=0,"",(F22-C22)/C22)</f>
        <v/>
      </c>
      <c r="H22" s="13">
        <f>IF($C$7="","",IF(ABS(F22)&gt;=$C$7,"M","TM"))</f>
        <v/>
      </c>
      <c r="I22" s="6" t="n"/>
      <c r="J22" s="6" t="inlineStr">
        <is>
          <t>BD</t>
        </is>
      </c>
      <c r="K22" s="6" t="inlineStr">
        <is>
          <t>BD</t>
        </is>
      </c>
      <c r="L22" s="6" t="inlineStr">
        <is>
          <t>BD</t>
        </is>
      </c>
      <c r="M22" s="13" t="inlineStr">
        <is>
          <t>n/a</t>
        </is>
      </c>
      <c r="N22" s="6" t="inlineStr">
        <is>
          <t>BD</t>
        </is>
      </c>
      <c r="O22" s="6" t="n"/>
      <c r="P22" s="13">
        <f>IF(COUNTIF(J22:N22,"TT")&gt;0,"Belum terpenuhi",IF(COUNTIF(J22:N22,"BD")+COUNTBLANK(J22:N22)&gt;0,"Pengujian belum selesai",IF(COUNTIF(J22:N22,"T-K")&gt;0,"Wajar setelah penyesuaian audit","Wajar, tidak ada salah saji")))</f>
        <v/>
      </c>
    </row>
    <row r="23">
      <c r="A23" s="10" t="inlineStr">
        <is>
          <t>VD</t>
        </is>
      </c>
      <c r="B23" s="6" t="inlineStr">
        <is>
          <t>Beban Usaha &amp; Gaji</t>
        </is>
      </c>
      <c r="C23" s="8" t="n"/>
      <c r="D23" s="8" t="n"/>
      <c r="E23" s="8" t="n"/>
      <c r="F23" s="11">
        <f>D23+E23</f>
        <v/>
      </c>
      <c r="G23" s="12">
        <f>IF(C23=0,"",(F23-C23)/C23)</f>
        <v/>
      </c>
      <c r="H23" s="13">
        <f>IF($C$7="","",IF(ABS(F23)&gt;=$C$7,"M","TM"))</f>
        <v/>
      </c>
      <c r="I23" s="6" t="n"/>
      <c r="J23" s="6" t="inlineStr">
        <is>
          <t>BD</t>
        </is>
      </c>
      <c r="K23" s="6" t="inlineStr">
        <is>
          <t>BD</t>
        </is>
      </c>
      <c r="L23" s="6" t="inlineStr">
        <is>
          <t>BD</t>
        </is>
      </c>
      <c r="M23" s="13" t="inlineStr">
        <is>
          <t>n/a</t>
        </is>
      </c>
      <c r="N23" s="6" t="inlineStr">
        <is>
          <t>BD</t>
        </is>
      </c>
      <c r="O23" s="6" t="n"/>
      <c r="P23" s="13">
        <f>IF(COUNTIF(J23:N23,"TT")&gt;0,"Belum terpenuhi",IF(COUNTIF(J23:N23,"BD")+COUNTBLANK(J23:N23)&gt;0,"Pengujian belum selesai",IF(COUNTIF(J23:N23,"T-K")&gt;0,"Wajar setelah penyesuaian audit","Wajar, tidak ada salah saji")))</f>
        <v/>
      </c>
    </row>
    <row r="24">
      <c r="B24" s="10" t="inlineStr">
        <is>
          <t>Jumlah</t>
        </is>
      </c>
      <c r="C24" s="14">
        <f>SUM(C10:C23)</f>
        <v/>
      </c>
      <c r="D24" s="14">
        <f>SUM(D10:D23)</f>
        <v/>
      </c>
      <c r="E24" s="14">
        <f>SUM(E10:E23)</f>
        <v/>
      </c>
      <c r="F24" s="14">
        <f>SUM(F10:F23)</f>
        <v/>
      </c>
    </row>
    <row r="26">
      <c r="A26" s="7" t="inlineStr">
        <is>
          <t>Ringkasan</t>
        </is>
      </c>
    </row>
    <row r="27">
      <c r="B27" s="15" t="inlineStr">
        <is>
          <t>Akun wajar, tanpa salah saji</t>
        </is>
      </c>
      <c r="C27" s="10">
        <f>COUNTIF(P10:P23,"Wajar, tidak ada salah saji")</f>
        <v/>
      </c>
    </row>
    <row r="28">
      <c r="B28" s="15" t="inlineStr">
        <is>
          <t>Akun wajar setelah penyesuaian audit</t>
        </is>
      </c>
      <c r="C28" s="10">
        <f>COUNTIF(P10:P23,"Wajar setelah penyesuaian audit")</f>
        <v/>
      </c>
    </row>
    <row r="29">
      <c r="B29" s="15" t="inlineStr">
        <is>
          <t>Asersi tidak terpenuhi (TT)</t>
        </is>
      </c>
      <c r="C29" s="10">
        <f>COUNTIF(J10:N23,"TT")</f>
        <v/>
      </c>
    </row>
    <row r="30">
      <c r="B30" s="15" t="inlineStr">
        <is>
          <t>Asersi belum diuji (BD)</t>
        </is>
      </c>
      <c r="C30" s="10">
        <f>COUNTIF(J10:N23,"BD")</f>
        <v/>
      </c>
    </row>
    <row r="32">
      <c r="A32" s="16" t="inlineStr">
        <is>
          <t>Asersi akun neraca E V C R P, akun laba rugi O M C P (whitepaper). Isi dari bagian B Jawaban Asersi di Lead tiap akun. T terpenuhi, T-K setelah koreksi, TT tidak terpenuhi, BD belum diuji.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dataValidations count="2">
    <dataValidation sqref="J10:N23" showDropDown="0" showInputMessage="0" showErrorMessage="0" allowBlank="1" type="list">
      <formula1>"T,T-K,TT,BD,n/a"</formula1>
    </dataValidation>
    <dataValidation sqref="I10:I23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9" t="inlineStr"/>
      <c r="B7" s="9" t="inlineStr"/>
      <c r="C7" s="9" t="inlineStr">
        <is>
          <t>Tanda</t>
        </is>
      </c>
      <c r="D7" s="9" t="inlineStr">
        <is>
          <t>Arti</t>
        </is>
      </c>
      <c r="E7" s="9" t="inlineStr"/>
      <c r="F7" s="9" t="inlineStr"/>
    </row>
    <row r="8">
      <c r="C8" s="10" t="inlineStr">
        <is>
          <t>✓</t>
        </is>
      </c>
      <c r="D8" s="13" t="inlineStr">
        <is>
          <t>Dicocokkan ke dokumen sumber</t>
        </is>
      </c>
    </row>
    <row r="9">
      <c r="C9" s="10" t="inlineStr">
        <is>
          <t>^</t>
        </is>
      </c>
      <c r="D9" s="13" t="inlineStr">
        <is>
          <t>Footing (penjumlahan vertikal) benar</t>
        </is>
      </c>
    </row>
    <row r="10">
      <c r="C10" s="10" t="inlineStr">
        <is>
          <t>&lt;</t>
        </is>
      </c>
      <c r="D10" s="13" t="inlineStr">
        <is>
          <t>Cross-footing (penjumlahan horizontal) benar</t>
        </is>
      </c>
    </row>
    <row r="11">
      <c r="C11" s="10" t="inlineStr">
        <is>
          <t>TB</t>
        </is>
      </c>
      <c r="D11" s="13" t="inlineStr">
        <is>
          <t>Cocok dengan neraca saldo</t>
        </is>
      </c>
    </row>
    <row r="12">
      <c r="C12" s="10" t="inlineStr">
        <is>
          <t>GL</t>
        </is>
      </c>
      <c r="D12" s="13" t="inlineStr">
        <is>
          <t>Cocok dengan buku besar</t>
        </is>
      </c>
    </row>
    <row r="13">
      <c r="C13" s="10" t="inlineStr">
        <is>
          <t>C</t>
        </is>
      </c>
      <c r="D13" s="13" t="inlineStr">
        <is>
          <t>Konfirmasi diterima dan sesuai</t>
        </is>
      </c>
    </row>
    <row r="14">
      <c r="C14" s="10" t="inlineStr">
        <is>
          <t>C/X</t>
        </is>
      </c>
      <c r="D14" s="13" t="inlineStr">
        <is>
          <t>Konfirmasi diterima, ada selisih (lihat keterangan)</t>
        </is>
      </c>
    </row>
    <row r="15">
      <c r="C15" s="10" t="inlineStr">
        <is>
          <t>PY</t>
        </is>
      </c>
      <c r="D15" s="13" t="inlineStr">
        <is>
          <t>Cocok dengan kertas kerja tahun lalu</t>
        </is>
      </c>
    </row>
    <row r="16">
      <c r="C16" s="10" t="inlineStr">
        <is>
          <t>R</t>
        </is>
      </c>
      <c r="D16" s="13" t="inlineStr">
        <is>
          <t>Dihitung ulang (rekalkulasi) dan sesuai</t>
        </is>
      </c>
    </row>
    <row r="17">
      <c r="C17" s="10" t="inlineStr">
        <is>
          <t>O</t>
        </is>
      </c>
      <c r="D17" s="13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9" t="inlineStr"/>
      <c r="B20" s="9" t="inlineStr"/>
      <c r="C20" s="9" t="inlineStr">
        <is>
          <t>Kode</t>
        </is>
      </c>
      <c r="D20" s="9" t="inlineStr">
        <is>
          <t>Arti</t>
        </is>
      </c>
      <c r="E20" s="9" t="inlineStr"/>
      <c r="F20" s="9" t="inlineStr"/>
    </row>
    <row r="21">
      <c r="C21" s="10" t="inlineStr">
        <is>
          <t>T</t>
        </is>
      </c>
      <c r="D21" s="13" t="inlineStr">
        <is>
          <t>Terpenuhi</t>
        </is>
      </c>
    </row>
    <row r="22">
      <c r="C22" s="10" t="inlineStr">
        <is>
          <t>T-K</t>
        </is>
      </c>
      <c r="D22" s="13" t="inlineStr">
        <is>
          <t>Terpenuhi setelah koreksi (AJE)</t>
        </is>
      </c>
    </row>
    <row r="23">
      <c r="C23" s="10" t="inlineStr">
        <is>
          <t>TT</t>
        </is>
      </c>
      <c r="D23" s="13" t="inlineStr">
        <is>
          <t>Tidak terpenuhi, ada pengecualian yang belum selesai</t>
        </is>
      </c>
    </row>
    <row r="24">
      <c r="C24" s="10" t="inlineStr">
        <is>
          <t>BD</t>
        </is>
      </c>
      <c r="D24" s="13" t="inlineStr">
        <is>
          <t>Belum diuji</t>
        </is>
      </c>
    </row>
    <row r="25">
      <c r="C25" s="10" t="inlineStr">
        <is>
          <t>n/a</t>
        </is>
      </c>
      <c r="D25" s="13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9" t="inlineStr"/>
      <c r="B28" s="9" t="inlineStr"/>
      <c r="C28" s="9" t="inlineStr">
        <is>
          <t>Kode</t>
        </is>
      </c>
      <c r="D28" s="9" t="inlineStr">
        <is>
          <t>Arti</t>
        </is>
      </c>
      <c r="E28" s="9" t="inlineStr"/>
      <c r="F28" s="9" t="inlineStr"/>
    </row>
    <row r="29">
      <c r="C29" s="10" t="inlineStr">
        <is>
          <t>√</t>
        </is>
      </c>
      <c r="D29" s="13" t="inlineStr">
        <is>
          <t>Uji rinci (test of details)</t>
        </is>
      </c>
    </row>
    <row r="30">
      <c r="C30" s="10" t="inlineStr">
        <is>
          <t>A</t>
        </is>
      </c>
      <c r="D30" s="13" t="inlineStr">
        <is>
          <t>Prosedur analitis substantif</t>
        </is>
      </c>
    </row>
    <row r="31">
      <c r="C31" s="10" t="inlineStr">
        <is>
          <t>-</t>
        </is>
      </c>
      <c r="D31" s="13" t="inlineStr">
        <is>
          <t>Tidak diuji (risiko rendah atau tidak relevan)</t>
        </is>
      </c>
    </row>
    <row r="33">
      <c r="A33" s="16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