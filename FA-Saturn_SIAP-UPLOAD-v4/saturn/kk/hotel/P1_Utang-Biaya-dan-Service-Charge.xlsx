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 Lead" sheetId="1" state="visible" r:id="rId1"/>
    <sheet xmlns:r="http://schemas.openxmlformats.org/officeDocument/2006/relationships" name="P1 Program" sheetId="2" state="visible" r:id="rId2"/>
    <sheet xmlns:r="http://schemas.openxmlformats.org/officeDocument/2006/relationships" name="P1.1 Kecocokan dan Kelengkapan" sheetId="3" state="visible" r:id="rId3"/>
    <sheet xmlns:r="http://schemas.openxmlformats.org/officeDocument/2006/relationships" name="P1.2 Dana Jangka Panjang" sheetId="4" state="visible" r:id="rId4"/>
    <sheet xmlns:r="http://schemas.openxmlformats.org/officeDocument/2006/relationships" name="P1.3 Kesesuaian Kewajiban" sheetId="5" state="visible" r:id="rId5"/>
    <sheet xmlns:r="http://schemas.openxmlformats.org/officeDocument/2006/relationships" name="P1.4 Tinjauan Rinci Konfirmasi" sheetId="6" state="visible" r:id="rId6"/>
    <sheet xmlns:r="http://schemas.openxmlformats.org/officeDocument/2006/relationships" name="P1.5 Pencarian Penyisihan dan" sheetId="7" state="visible" r:id="rId7"/>
    <sheet xmlns:r="http://schemas.openxmlformats.org/officeDocument/2006/relationships" name="P1.6 Rekalkulasi Distribusi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P1 · Utang Biaya &amp; Service Charge</t>
        </is>
      </c>
      <c r="I2" s="3" t="inlineStr">
        <is>
          <t>Indeks KK</t>
        </is>
      </c>
      <c r="J2" s="4" t="inlineStr">
        <is>
          <t>P1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P1-1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P1-2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P1-3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P1-4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P1-5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P1-6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P1-7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P1-8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P1.1, P1.2, P1.3, P1.4</t>
        </is>
      </c>
      <c r="D21" s="19" t="n"/>
      <c r="E21" s="20">
        <f>COUNTIF('P1 Program'!$D$8:$D$13,"X")</f>
        <v/>
      </c>
      <c r="F21" s="20">
        <f>COUNTIFS('P1 Program'!$D$8:$D$13,"X",'P1 Program'!$I$8:$I$13,"Selesai")</f>
        <v/>
      </c>
      <c r="G21" s="20">
        <f>COUNTIFS('P1 Program'!$D$8:$D$13,"X",'P1 Program'!$J$8:$J$13,"Pengecualian")</f>
        <v/>
      </c>
      <c r="H21" s="16">
        <f>IF(E21=0,"n/a",IF(G21&gt;0,"TT",IF(F21+COUNTIFS('P1 Program'!$D$8:$D$13,"X",'P1 Program'!$I$8:$I$13,"Tidak Relevan")&lt;E21,"BD",IF(F21=0,"n/a",IF(COUNTIFS('P1 Program'!$D$8:$D$13,"X",'P1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P1.2, P1.4, P1.5, P1.6</t>
        </is>
      </c>
      <c r="D22" s="19" t="n"/>
      <c r="E22" s="20">
        <f>COUNTIF('P1 Program'!$E$8:$E$13,"X")</f>
        <v/>
      </c>
      <c r="F22" s="20">
        <f>COUNTIFS('P1 Program'!$E$8:$E$13,"X",'P1 Program'!$I$8:$I$13,"Selesai")</f>
        <v/>
      </c>
      <c r="G22" s="20">
        <f>COUNTIFS('P1 Program'!$E$8:$E$13,"X",'P1 Program'!$J$8:$J$13,"Pengecualian")</f>
        <v/>
      </c>
      <c r="H22" s="16">
        <f>IF(E22=0,"n/a",IF(G22&gt;0,"TT",IF(F22+COUNTIFS('P1 Program'!$E$8:$E$13,"X",'P1 Program'!$I$8:$I$13,"Tidak Relevan")&lt;E22,"BD",IF(F22=0,"n/a",IF(COUNTIFS('P1 Program'!$E$8:$E$13,"X",'P1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P1.1, P1.4, P1.5</t>
        </is>
      </c>
      <c r="D23" s="19" t="n"/>
      <c r="E23" s="20">
        <f>COUNTIF('P1 Program'!$F$8:$F$13,"X")</f>
        <v/>
      </c>
      <c r="F23" s="20">
        <f>COUNTIFS('P1 Program'!$F$8:$F$13,"X",'P1 Program'!$I$8:$I$13,"Selesai")</f>
        <v/>
      </c>
      <c r="G23" s="20">
        <f>COUNTIFS('P1 Program'!$F$8:$F$13,"X",'P1 Program'!$J$8:$J$13,"Pengecualian")</f>
        <v/>
      </c>
      <c r="H23" s="16">
        <f>IF(E23=0,"n/a",IF(G23&gt;0,"TT",IF(F23+COUNTIFS('P1 Program'!$F$8:$F$13,"X",'P1 Program'!$I$8:$I$13,"Tidak Relevan")&lt;E23,"BD",IF(F23=0,"n/a",IF(COUNTIFS('P1 Program'!$F$8:$F$13,"X",'P1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P1.4, P1.5</t>
        </is>
      </c>
      <c r="D24" s="19" t="n"/>
      <c r="E24" s="20">
        <f>COUNTIF('P1 Program'!$G$8:$G$13,"X")</f>
        <v/>
      </c>
      <c r="F24" s="20">
        <f>COUNTIFS('P1 Program'!$G$8:$G$13,"X",'P1 Program'!$I$8:$I$13,"Selesai")</f>
        <v/>
      </c>
      <c r="G24" s="20">
        <f>COUNTIFS('P1 Program'!$G$8:$G$13,"X",'P1 Program'!$J$8:$J$13,"Pengecualian")</f>
        <v/>
      </c>
      <c r="H24" s="16">
        <f>IF(E24=0,"n/a",IF(G24&gt;0,"TT",IF(F24+COUNTIFS('P1 Program'!$G$8:$G$13,"X",'P1 Program'!$I$8:$I$13,"Tidak Relevan")&lt;E24,"BD",IF(F24=0,"n/a",IF(COUNTIFS('P1 Program'!$G$8:$G$13,"X",'P1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P1.4</t>
        </is>
      </c>
      <c r="D25" s="19" t="n"/>
      <c r="E25" s="20">
        <f>COUNTIF('P1 Program'!$H$8:$H$13,"X")</f>
        <v/>
      </c>
      <c r="F25" s="20">
        <f>COUNTIFS('P1 Program'!$H$8:$H$13,"X",'P1 Program'!$I$8:$I$13,"Selesai")</f>
        <v/>
      </c>
      <c r="G25" s="20">
        <f>COUNTIFS('P1 Program'!$H$8:$H$13,"X",'P1 Program'!$J$8:$J$13,"Pengecualian")</f>
        <v/>
      </c>
      <c r="H25" s="16">
        <f>IF(E25=0,"n/a",IF(G25&gt;0,"TT",IF(F25+COUNTIFS('P1 Program'!$H$8:$H$13,"X",'P1 Program'!$I$8:$I$13,"Tidak Relevan")&lt;E25,"BD",IF(F25=0,"n/a",IF(COUNTIFS('P1 Program'!$H$8:$H$13,"X",'P1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Biaya &amp; Service Charge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P1 · Utang Biaya &amp; Service Charge</t>
        </is>
      </c>
      <c r="K2" s="3" t="inlineStr">
        <is>
          <t>Indeks KK</t>
        </is>
      </c>
      <c r="L2" s="4" t="inlineStr">
        <is>
          <t>P1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P1.1</t>
        </is>
      </c>
      <c r="B8" s="18" t="inlineStr">
        <is>
          <t>Kecocokan dan Kelengkapan Dokumen Pendukung Beban Akrual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IF('P1.1 Kecocokan dan Kelengkapan'!$C$7="","Belum",'P1.1 Kecocokan dan Kelengkapan'!$C$7)</f>
        <v/>
      </c>
      <c r="J8" s="17">
        <f>IF('P1.1 Kecocokan dan Kelengkapan'!$C$8="","",'P1.1 Kecocokan dan Kelengkapan'!$C$8)</f>
        <v/>
      </c>
      <c r="K8" s="17">
        <f>IF('P1.1 Kecocokan dan Kelengkapan'!$C$9="","",'P1.1 Kecocokan dan Kelengkapan'!$C$9)</f>
        <v/>
      </c>
      <c r="L8" s="18" t="inlineStr">
        <is>
          <t>P1.1 Kecocokan dan Kelengkapan</t>
        </is>
      </c>
    </row>
    <row r="9" ht="28" customHeight="1">
      <c r="A9" s="26" t="inlineStr">
        <is>
          <t>P1.2</t>
        </is>
      </c>
      <c r="B9" s="18" t="inlineStr">
        <is>
          <t>Dana Jangka Panjang Terkait Pensiun dan Karyawan Lainnya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n"/>
      <c r="G9" s="20" t="n"/>
      <c r="H9" s="20" t="n"/>
      <c r="I9" s="26">
        <f>IF('P1.2 Dana Jangka Panjang'!$C$7="","Belum",'P1.2 Dana Jangka Panjang'!$C$7)</f>
        <v/>
      </c>
      <c r="J9" s="17">
        <f>IF('P1.2 Dana Jangka Panjang'!$C$8="","",'P1.2 Dana Jangka Panjang'!$C$8)</f>
        <v/>
      </c>
      <c r="K9" s="17">
        <f>IF('P1.2 Dana Jangka Panjang'!$C$9="","",'P1.2 Dana Jangka Panjang'!$C$9)</f>
        <v/>
      </c>
      <c r="L9" s="18" t="inlineStr">
        <is>
          <t>P1.2 Dana Jangka Panjang</t>
        </is>
      </c>
    </row>
    <row r="10" ht="28" customHeight="1">
      <c r="A10" s="26" t="inlineStr">
        <is>
          <t>P1.3</t>
        </is>
      </c>
      <c r="B10" s="18" t="inlineStr">
        <is>
          <t>Kesesuaian Kewajiban Lainnya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n"/>
      <c r="G10" s="20" t="n"/>
      <c r="H10" s="20" t="n"/>
      <c r="I10" s="26">
        <f>IF('P1.3 Kesesuaian Kewajiban'!$C$7="","Belum",'P1.3 Kesesuaian Kewajiban'!$C$7)</f>
        <v/>
      </c>
      <c r="J10" s="17">
        <f>IF('P1.3 Kesesuaian Kewajiban'!$C$8="","",'P1.3 Kesesuaian Kewajiban'!$C$8)</f>
        <v/>
      </c>
      <c r="K10" s="17">
        <f>IF('P1.3 Kesesuaian Kewajiban'!$C$9="","",'P1.3 Kesesuaian Kewajiban'!$C$9)</f>
        <v/>
      </c>
      <c r="L10" s="18" t="inlineStr">
        <is>
          <t>P1.3 Kesesuaian Kewajiban</t>
        </is>
      </c>
    </row>
    <row r="11" ht="28" customHeight="1">
      <c r="A11" s="26" t="inlineStr">
        <is>
          <t>P1.4</t>
        </is>
      </c>
      <c r="B11" s="18" t="inlineStr">
        <is>
          <t>Tinjauan Rinci Konfirmasi dari Pengacara Perusahaan</t>
        </is>
      </c>
      <c r="C11" s="17" t="inlineStr">
        <is>
          <t>PSP</t>
        </is>
      </c>
      <c r="D11" s="20" t="inlineStr">
        <is>
          <t>X</t>
        </is>
      </c>
      <c r="E11" s="20" t="inlineStr">
        <is>
          <t>X</t>
        </is>
      </c>
      <c r="F11" s="20" t="inlineStr">
        <is>
          <t>X</t>
        </is>
      </c>
      <c r="G11" s="20" t="inlineStr">
        <is>
          <t>X</t>
        </is>
      </c>
      <c r="H11" s="20" t="inlineStr">
        <is>
          <t>X</t>
        </is>
      </c>
      <c r="I11" s="26">
        <f>IF('P1.4 Tinjauan Rinci Konfirmasi'!$C$7="","Belum",'P1.4 Tinjauan Rinci Konfirmasi'!$C$7)</f>
        <v/>
      </c>
      <c r="J11" s="17">
        <f>IF('P1.4 Tinjauan Rinci Konfirmasi'!$C$8="","",'P1.4 Tinjauan Rinci Konfirmasi'!$C$8)</f>
        <v/>
      </c>
      <c r="K11" s="17">
        <f>IF('P1.4 Tinjauan Rinci Konfirmasi'!$C$9="","",'P1.4 Tinjauan Rinci Konfirmasi'!$C$9)</f>
        <v/>
      </c>
      <c r="L11" s="18" t="inlineStr">
        <is>
          <t>P1.4 Tinjauan Rinci Konfirmasi</t>
        </is>
      </c>
    </row>
    <row r="12" ht="28" customHeight="1">
      <c r="A12" s="26" t="inlineStr">
        <is>
          <t>P1.5</t>
        </is>
      </c>
      <c r="B12" s="18" t="inlineStr">
        <is>
          <t>Pencarian Penyisihan dan Akrual yang Tidak Tercatat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inlineStr">
        <is>
          <t>X</t>
        </is>
      </c>
      <c r="G12" s="20" t="inlineStr">
        <is>
          <t>X</t>
        </is>
      </c>
      <c r="H12" s="20" t="n"/>
      <c r="I12" s="26">
        <f>IF('P1.5 Pencarian Penyisihan dan'!$C$7="","Belum",'P1.5 Pencarian Penyisihan dan'!$C$7)</f>
        <v/>
      </c>
      <c r="J12" s="17">
        <f>IF('P1.5 Pencarian Penyisihan dan'!$C$8="","",'P1.5 Pencarian Penyisihan dan'!$C$8)</f>
        <v/>
      </c>
      <c r="K12" s="17">
        <f>IF('P1.5 Pencarian Penyisihan dan'!$C$9="","",'P1.5 Pencarian Penyisihan dan'!$C$9)</f>
        <v/>
      </c>
      <c r="L12" s="18" t="inlineStr">
        <is>
          <t>P1.5 Pencarian Penyisihan dan</t>
        </is>
      </c>
    </row>
    <row r="13" ht="28" customHeight="1">
      <c r="A13" s="26" t="inlineStr">
        <is>
          <t>P1.6</t>
        </is>
      </c>
      <c r="B13" s="18" t="inlineStr">
        <is>
          <t>Rekalkulasi Distribusi Service Charge</t>
        </is>
      </c>
      <c r="C13" s="17" t="inlineStr">
        <is>
          <t>Tambahan</t>
        </is>
      </c>
      <c r="D13" s="20" t="n"/>
      <c r="E13" s="20" t="inlineStr">
        <is>
          <t>X</t>
        </is>
      </c>
      <c r="F13" s="20" t="n"/>
      <c r="G13" s="20" t="n"/>
      <c r="H13" s="20" t="n"/>
      <c r="I13" s="26">
        <f>IF('P1.6 Rekalkulasi Distribusi'!$C$7="","Belum",'P1.6 Rekalkulasi Distribusi'!$C$7)</f>
        <v/>
      </c>
      <c r="J13" s="17">
        <f>IF('P1.6 Rekalkulasi Distribusi'!$C$8="","",'P1.6 Rekalkulasi Distribusi'!$C$8)</f>
        <v/>
      </c>
      <c r="K13" s="17">
        <f>IF('P1.6 Rekalkulasi Distribusi'!$C$9="","",'P1.6 Rekalkulasi Distribusi'!$C$9)</f>
        <v/>
      </c>
      <c r="L13" s="18" t="inlineStr">
        <is>
          <t>P1.6 Rekalkulasi Distribusi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P1.1 · Kecocokan dan Kelengkapan Dokumen Pendukung Beban Akrual</t>
        </is>
      </c>
      <c r="F2" s="3" t="inlineStr">
        <is>
          <t>Indeks KK</t>
        </is>
      </c>
      <c r="G2" s="4" t="inlineStr">
        <is>
          <t>P1.1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akrual ke dokumen pendukung dan pembayaran setelah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P1.2 · Dana Jangka Panjang Terkait Pensiun dan Karyawan Lainnya</t>
        </is>
      </c>
      <c r="F2" s="3" t="inlineStr">
        <is>
          <t>Indeks KK</t>
        </is>
      </c>
      <c r="G2" s="4" t="inlineStr">
        <is>
          <t>P1.2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laporan aktuaria (PSAK 219): data peserta, asumsi, dan kompetensi aktuaris.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P1.3 · Kesesuaian Kewajiban Lainnya</t>
        </is>
      </c>
      <c r="F2" s="3" t="inlineStr">
        <is>
          <t>Indeks KK</t>
        </is>
      </c>
      <c r="G2" s="4" t="inlineStr">
        <is>
          <t>P1.3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rincian kewajiban lain dengan dokumen pendukung dan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P1.4 · Tinjauan Rinci Konfirmasi dari Pengacara Perusahaan</t>
        </is>
      </c>
      <c r="H2" s="3" t="inlineStr">
        <is>
          <t>Indeks KK</t>
        </is>
      </c>
      <c r="I2" s="4" t="inlineStr">
        <is>
          <t>P1.4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dan evaluasi konfirmasi konsultan hukum atas perkara, klaim, dan kontinjensi.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P1.5 · Pencarian Penyisihan dan Akrual yang Tidak Tercatat</t>
        </is>
      </c>
      <c r="F2" s="3" t="inlineStr">
        <is>
          <t>Indeks KK</t>
        </is>
      </c>
      <c r="G2" s="4" t="inlineStr">
        <is>
          <t>P1.5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pengeluaran setelah tanggal neraca dan kontrak untuk liabilitas/provisi yang belum dicatat.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P1.6 · Rekalkulasi Distribusi Service Charge</t>
        </is>
      </c>
      <c r="F2" s="3" t="inlineStr">
        <is>
          <t>Indeks KK</t>
        </is>
      </c>
      <c r="G2" s="4" t="inlineStr">
        <is>
          <t>P1.6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service charge terkumpul dan distribusinya berdasarkan poin karyawan yang disetujui.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