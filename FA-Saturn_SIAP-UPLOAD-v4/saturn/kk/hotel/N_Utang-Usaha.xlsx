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 Lead" sheetId="1" state="visible" r:id="rId1"/>
    <sheet xmlns:r="http://schemas.openxmlformats.org/officeDocument/2006/relationships" name="N Program" sheetId="2" state="visible" r:id="rId2"/>
    <sheet xmlns:r="http://schemas.openxmlformats.org/officeDocument/2006/relationships" name="N.1 Kesesuaian Buku Pembantu" sheetId="3" state="visible" r:id="rId3"/>
    <sheet xmlns:r="http://schemas.openxmlformats.org/officeDocument/2006/relationships" name="N.2 Tinjauan Item yang Tidak" sheetId="4" state="visible" r:id="rId4"/>
    <sheet xmlns:r="http://schemas.openxmlformats.org/officeDocument/2006/relationships" name="N.3 Cutoff Utang Usaha" sheetId="5" state="visible" r:id="rId5"/>
    <sheet xmlns:r="http://schemas.openxmlformats.org/officeDocument/2006/relationships" name="N.4 Pencarian Kewajiban yang" sheetId="6" state="visible" r:id="rId6"/>
    <sheet xmlns:r="http://schemas.openxmlformats.org/officeDocument/2006/relationships" name="N.5 Analisis Saldo Pemasok" sheetId="7" state="visible" r:id="rId7"/>
    <sheet xmlns:r="http://schemas.openxmlformats.org/officeDocument/2006/relationships" name="N.6 Penilaian Utang Usaha" sheetId="8" state="visible" r:id="rId8"/>
    <sheet xmlns:r="http://schemas.openxmlformats.org/officeDocument/2006/relationships" name="Keteran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N · Utang Usaha</t>
        </is>
      </c>
      <c r="I2" s="3" t="inlineStr">
        <is>
          <t>Indeks KK</t>
        </is>
      </c>
      <c r="J2" s="4" t="inlineStr">
        <is>
          <t>N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N-1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N-2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N-3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N-4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N-5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N-6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N-7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N-8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N.1, N.2, N.3</t>
        </is>
      </c>
      <c r="D21" s="19" t="n"/>
      <c r="E21" s="20">
        <f>COUNTIF('N Program'!$D$8:$D$13,"X")</f>
        <v/>
      </c>
      <c r="F21" s="20">
        <f>COUNTIFS('N Program'!$D$8:$D$13,"X",'N Program'!$I$8:$I$13,"Selesai")</f>
        <v/>
      </c>
      <c r="G21" s="20">
        <f>COUNTIFS('N Program'!$D$8:$D$13,"X",'N Program'!$J$8:$J$13,"Pengecualian")</f>
        <v/>
      </c>
      <c r="H21" s="16">
        <f>IF(E21=0,"n/a",IF(G21&gt;0,"TT",IF(F21+COUNTIFS('N Program'!$D$8:$D$13,"X",'N Program'!$I$8:$I$13,"Tidak Relevan")&lt;E21,"BD",IF(F21=0,"n/a",IF(COUNTIFS('N Program'!$D$8:$D$13,"X",'N Program'!$J$8:$J$13,"Koreksi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N.2, N.4, N.6</t>
        </is>
      </c>
      <c r="D22" s="19" t="n"/>
      <c r="E22" s="20">
        <f>COUNTIF('N Program'!$E$8:$E$13,"X")</f>
        <v/>
      </c>
      <c r="F22" s="20">
        <f>COUNTIFS('N Program'!$E$8:$E$13,"X",'N Program'!$I$8:$I$13,"Selesai")</f>
        <v/>
      </c>
      <c r="G22" s="20">
        <f>COUNTIFS('N Program'!$E$8:$E$13,"X",'N Program'!$J$8:$J$13,"Pengecualian")</f>
        <v/>
      </c>
      <c r="H22" s="16">
        <f>IF(E22=0,"n/a",IF(G22&gt;0,"TT",IF(F22+COUNTIFS('N Program'!$E$8:$E$13,"X",'N Program'!$I$8:$I$13,"Tidak Relevan")&lt;E22,"BD",IF(F22=0,"n/a",IF(COUNTIFS('N Program'!$E$8:$E$13,"X",'N Program'!$J$8:$J$13,"Koreksi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N.1, N.2, N.3, N.4, N.5</t>
        </is>
      </c>
      <c r="D23" s="19" t="n"/>
      <c r="E23" s="20">
        <f>COUNTIF('N Program'!$F$8:$F$13,"X")</f>
        <v/>
      </c>
      <c r="F23" s="20">
        <f>COUNTIFS('N Program'!$F$8:$F$13,"X",'N Program'!$I$8:$I$13,"Selesai")</f>
        <v/>
      </c>
      <c r="G23" s="20">
        <f>COUNTIFS('N Program'!$F$8:$F$13,"X",'N Program'!$J$8:$J$13,"Pengecualian")</f>
        <v/>
      </c>
      <c r="H23" s="16">
        <f>IF(E23=0,"n/a",IF(G23&gt;0,"TT",IF(F23+COUNTIFS('N Program'!$F$8:$F$13,"X",'N Program'!$I$8:$I$13,"Tidak Relevan")&lt;E23,"BD",IF(F23=0,"n/a",IF(COUNTIFS('N Program'!$F$8:$F$13,"X",'N Program'!$J$8:$J$13,"Koreksi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N.2, N.3</t>
        </is>
      </c>
      <c r="D24" s="19" t="n"/>
      <c r="E24" s="20">
        <f>COUNTIF('N Program'!$G$8:$G$13,"X")</f>
        <v/>
      </c>
      <c r="F24" s="20">
        <f>COUNTIFS('N Program'!$G$8:$G$13,"X",'N Program'!$I$8:$I$13,"Selesai")</f>
        <v/>
      </c>
      <c r="G24" s="20">
        <f>COUNTIFS('N Program'!$G$8:$G$13,"X",'N Program'!$J$8:$J$13,"Pengecualian")</f>
        <v/>
      </c>
      <c r="H24" s="16">
        <f>IF(E24=0,"n/a",IF(G24&gt;0,"TT",IF(F24+COUNTIFS('N Program'!$G$8:$G$13,"X",'N Program'!$I$8:$I$13,"Tidak Relevan")&lt;E24,"BD",IF(F24=0,"n/a",IF(COUNTIFS('N Program'!$G$8:$G$13,"X",'N Program'!$J$8:$J$13,"Koreksi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N.2</t>
        </is>
      </c>
      <c r="D25" s="19" t="n"/>
      <c r="E25" s="20">
        <f>COUNTIF('N Program'!$H$8:$H$13,"X")</f>
        <v/>
      </c>
      <c r="F25" s="20">
        <f>COUNTIFS('N Program'!$H$8:$H$13,"X",'N Program'!$I$8:$I$13,"Selesai")</f>
        <v/>
      </c>
      <c r="G25" s="20">
        <f>COUNTIFS('N Program'!$H$8:$H$13,"X",'N Program'!$J$8:$J$13,"Pengecualian")</f>
        <v/>
      </c>
      <c r="H25" s="16">
        <f>IF(E25=0,"n/a",IF(G25&gt;0,"TT",IF(F25+COUNTIFS('N Program'!$H$8:$H$13,"X",'N Program'!$I$8:$I$13,"Tidak Relevan")&lt;E25,"BD",IF(F25=0,"n/a",IF(COUNTIFS('N Program'!$H$8:$H$13,"X",'N Program'!$J$8:$J$13,"Koreksi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utang Usaha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N · Utang Usaha</t>
        </is>
      </c>
      <c r="K2" s="3" t="inlineStr">
        <is>
          <t>Indeks KK</t>
        </is>
      </c>
      <c r="L2" s="4" t="inlineStr">
        <is>
          <t>N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N.1</t>
        </is>
      </c>
      <c r="B8" s="18" t="inlineStr">
        <is>
          <t>Kesesuaian Buku Pembantu dengan Buku Besar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n"/>
      <c r="I8" s="26">
        <f>IF('N.1 Kesesuaian Buku Pembantu'!$C$7="","Belum",'N.1 Kesesuaian Buku Pembantu'!$C$7)</f>
        <v/>
      </c>
      <c r="J8" s="17">
        <f>IF('N.1 Kesesuaian Buku Pembantu'!$C$8="","",'N.1 Kesesuaian Buku Pembantu'!$C$8)</f>
        <v/>
      </c>
      <c r="K8" s="17">
        <f>IF('N.1 Kesesuaian Buku Pembantu'!$C$9="","",'N.1 Kesesuaian Buku Pembantu'!$C$9)</f>
        <v/>
      </c>
      <c r="L8" s="18" t="inlineStr">
        <is>
          <t>N.1 Kesesuaian Buku Pembantu</t>
        </is>
      </c>
    </row>
    <row r="9" ht="28" customHeight="1">
      <c r="A9" s="26" t="inlineStr">
        <is>
          <t>N.2</t>
        </is>
      </c>
      <c r="B9" s="18" t="inlineStr">
        <is>
          <t>Tinjauan Item yang Tidak Biasa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X</t>
        </is>
      </c>
      <c r="H9" s="20" t="inlineStr">
        <is>
          <t>X</t>
        </is>
      </c>
      <c r="I9" s="26">
        <f>IF('N.2 Tinjauan Item yang Tidak'!$C$7="","Belum",'N.2 Tinjauan Item yang Tidak'!$C$7)</f>
        <v/>
      </c>
      <c r="J9" s="17">
        <f>IF('N.2 Tinjauan Item yang Tidak'!$C$8="","",'N.2 Tinjauan Item yang Tidak'!$C$8)</f>
        <v/>
      </c>
      <c r="K9" s="17">
        <f>IF('N.2 Tinjauan Item yang Tidak'!$C$9="","",'N.2 Tinjauan Item yang Tidak'!$C$9)</f>
        <v/>
      </c>
      <c r="L9" s="18" t="inlineStr">
        <is>
          <t>N.2 Tinjauan Item yang Tidak</t>
        </is>
      </c>
    </row>
    <row r="10" ht="28" customHeight="1">
      <c r="A10" s="26" t="inlineStr">
        <is>
          <t>N.3</t>
        </is>
      </c>
      <c r="B10" s="18" t="inlineStr">
        <is>
          <t>Cutoff Utang Usaha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inlineStr">
        <is>
          <t>X</t>
        </is>
      </c>
      <c r="G10" s="20" t="inlineStr">
        <is>
          <t>X</t>
        </is>
      </c>
      <c r="H10" s="20" t="n"/>
      <c r="I10" s="26">
        <f>IF('N.3 Cutoff Utang Usaha'!$C$7="","Belum",'N.3 Cutoff Utang Usaha'!$C$7)</f>
        <v/>
      </c>
      <c r="J10" s="17">
        <f>IF('N.3 Cutoff Utang Usaha'!$C$8="","",'N.3 Cutoff Utang Usaha'!$C$8)</f>
        <v/>
      </c>
      <c r="K10" s="17">
        <f>IF('N.3 Cutoff Utang Usaha'!$C$9="","",'N.3 Cutoff Utang Usaha'!$C$9)</f>
        <v/>
      </c>
      <c r="L10" s="18" t="inlineStr">
        <is>
          <t>N.3 Cutoff Utang Usaha</t>
        </is>
      </c>
    </row>
    <row r="11" ht="28" customHeight="1">
      <c r="A11" s="26" t="inlineStr">
        <is>
          <t>N.4</t>
        </is>
      </c>
      <c r="B11" s="18" t="inlineStr">
        <is>
          <t>Pencarian Kewajiban yang Belum Tercatat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inlineStr">
        <is>
          <t>X</t>
        </is>
      </c>
      <c r="G11" s="20" t="n"/>
      <c r="H11" s="20" t="n"/>
      <c r="I11" s="26">
        <f>IF('N.4 Pencarian Kewajiban yang'!$C$7="","Belum",'N.4 Pencarian Kewajiban yang'!$C$7)</f>
        <v/>
      </c>
      <c r="J11" s="17">
        <f>IF('N.4 Pencarian Kewajiban yang'!$C$8="","",'N.4 Pencarian Kewajiban yang'!$C$8)</f>
        <v/>
      </c>
      <c r="K11" s="17">
        <f>IF('N.4 Pencarian Kewajiban yang'!$C$9="","",'N.4 Pencarian Kewajiban yang'!$C$9)</f>
        <v/>
      </c>
      <c r="L11" s="18" t="inlineStr">
        <is>
          <t>N.4 Pencarian Kewajiban yang</t>
        </is>
      </c>
    </row>
    <row r="12" ht="28" customHeight="1">
      <c r="A12" s="26" t="inlineStr">
        <is>
          <t>N.5</t>
        </is>
      </c>
      <c r="B12" s="18" t="inlineStr">
        <is>
          <t>Analisis Saldo Pemasok</t>
        </is>
      </c>
      <c r="C12" s="17" t="inlineStr">
        <is>
          <t>PSP</t>
        </is>
      </c>
      <c r="D12" s="20" t="n"/>
      <c r="E12" s="20" t="n"/>
      <c r="F12" s="20" t="inlineStr">
        <is>
          <t>X</t>
        </is>
      </c>
      <c r="G12" s="20" t="n"/>
      <c r="H12" s="20" t="n"/>
      <c r="I12" s="26">
        <f>IF('N.5 Analisis Saldo Pemasok'!$C$7="","Belum",'N.5 Analisis Saldo Pemasok'!$C$7)</f>
        <v/>
      </c>
      <c r="J12" s="17">
        <f>IF('N.5 Analisis Saldo Pemasok'!$C$8="","",'N.5 Analisis Saldo Pemasok'!$C$8)</f>
        <v/>
      </c>
      <c r="K12" s="17">
        <f>IF('N.5 Analisis Saldo Pemasok'!$C$9="","",'N.5 Analisis Saldo Pemasok'!$C$9)</f>
        <v/>
      </c>
      <c r="L12" s="18" t="inlineStr">
        <is>
          <t>N.5 Analisis Saldo Pemasok</t>
        </is>
      </c>
    </row>
    <row r="13" ht="28" customHeight="1">
      <c r="A13" s="26" t="inlineStr">
        <is>
          <t>N.6</t>
        </is>
      </c>
      <c r="B13" s="18" t="inlineStr">
        <is>
          <t>Penilaian Utang Usaha dalam Mata Uang Asing</t>
        </is>
      </c>
      <c r="C13" s="17" t="inlineStr">
        <is>
          <t>PSP</t>
        </is>
      </c>
      <c r="D13" s="20" t="n"/>
      <c r="E13" s="20" t="inlineStr">
        <is>
          <t>X</t>
        </is>
      </c>
      <c r="F13" s="20" t="n"/>
      <c r="G13" s="20" t="n"/>
      <c r="H13" s="20" t="n"/>
      <c r="I13" s="26">
        <f>IF('N.6 Penilaian Utang Usaha'!$C$7="","Belum",'N.6 Penilaian Utang Usaha'!$C$7)</f>
        <v/>
      </c>
      <c r="J13" s="17">
        <f>IF('N.6 Penilaian Utang Usaha'!$C$8="","",'N.6 Penilaian Utang Usaha'!$C$8)</f>
        <v/>
      </c>
      <c r="K13" s="17">
        <f>IF('N.6 Penilaian Utang Usaha'!$C$9="","",'N.6 Penilaian Utang Usaha'!$C$9)</f>
        <v/>
      </c>
      <c r="L13" s="18" t="inlineStr">
        <is>
          <t>N.6 Penilaian Utang Usaha</t>
        </is>
      </c>
    </row>
    <row r="15">
      <c r="A15" s="25" t="inlineStr">
        <is>
          <t>Status dan hasil diisi di sheet KK anak masing-masing prosedur (sel kuning bagian A). Program ini dan jawaban asersi di Lead terisi otomatis.</t>
        </is>
      </c>
    </row>
    <row r="16">
      <c r="A16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N.1 · Kesesuaian Buku Pembantu dengan Buku Besar</t>
        </is>
      </c>
      <c r="F2" s="3" t="inlineStr">
        <is>
          <t>Indeks KK</t>
        </is>
      </c>
      <c r="G2" s="4" t="inlineStr">
        <is>
          <t>N.1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Footing rincian utang per pemasok dan cocokkan dengan buku besar.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N.2 · Tinjauan Item yang Tidak Biasa</t>
        </is>
      </c>
      <c r="F2" s="3" t="inlineStr">
        <is>
          <t>Indeks KK</t>
        </is>
      </c>
      <c r="G2" s="4" t="inlineStr">
        <is>
          <t>N.2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saldo debit, saldo pihak berelasi, dan saldo tidak bergerak; selidiki penyebabnya.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N.3 · Cutoff Utang Usaha</t>
        </is>
      </c>
      <c r="H2" s="3" t="inlineStr">
        <is>
          <t>Indeks KK</t>
        </is>
      </c>
      <c r="I2" s="4" t="inlineStr">
        <is>
          <t>N.3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penerimaan barang/jasa sekitar tanggal neraca dan pencatatan utangnya.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9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9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9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9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9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9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9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9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9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9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9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9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9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9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9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9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9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9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9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9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N.4 · Pencarian Kewajiban yang Belum Tercatat</t>
        </is>
      </c>
      <c r="F2" s="3" t="inlineStr">
        <is>
          <t>Indeks KK</t>
        </is>
      </c>
      <c r="G2" s="4" t="inlineStr">
        <is>
          <t>N.4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Telusuri pembayaran dan tagihan setelah tanggal neraca untuk liabilitas yang seharusnya dicatat per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N.5 · Analisis Saldo Pemasok</t>
        </is>
      </c>
      <c r="H2" s="3" t="inlineStr">
        <is>
          <t>Indeks KK</t>
        </is>
      </c>
      <c r="I2" s="4" t="inlineStr">
        <is>
          <t>N.5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Rekonsiliasi saldo dengan laporan pemasok (statement) atau konfirmasi pemasok utama, termasuk saldo nol.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N.6 · Penilaian Utang Usaha dalam Mata Uang Asing</t>
        </is>
      </c>
      <c r="F2" s="3" t="inlineStr">
        <is>
          <t>Indeks KK</t>
        </is>
      </c>
      <c r="G2" s="4" t="inlineStr">
        <is>
          <t>N.6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penjabaran utang valuta asing dengan kurs per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2026-10-18T07:48:43Z</dcterms:created>
  <dcterms:modified xmlns:dcterms="http://purl.org/dc/terms/" xmlns:xsi="http://www.w3.org/2001/XMLSchema-instance" xsi:type="dcterms:W3CDTF">2026-10-18T07:48:43Z</dcterms:modified>
</cp:coreProperties>
</file>