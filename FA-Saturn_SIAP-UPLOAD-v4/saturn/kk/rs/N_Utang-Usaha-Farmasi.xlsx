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 Lead" sheetId="1" state="visible" r:id="rId1"/>
    <sheet xmlns:r="http://schemas.openxmlformats.org/officeDocument/2006/relationships" name="N Program" sheetId="2" state="visible" r:id="rId2"/>
    <sheet xmlns:r="http://schemas.openxmlformats.org/officeDocument/2006/relationships" name="N.1 Kesesuaian Buku Pembantu" sheetId="3" state="visible" r:id="rId3"/>
    <sheet xmlns:r="http://schemas.openxmlformats.org/officeDocument/2006/relationships" name="N.2 Tinjauan Item yang Tidak" sheetId="4" state="visible" r:id="rId4"/>
    <sheet xmlns:r="http://schemas.openxmlformats.org/officeDocument/2006/relationships" name="N.3 Cutoff Utang Usaha" sheetId="5" state="visible" r:id="rId5"/>
    <sheet xmlns:r="http://schemas.openxmlformats.org/officeDocument/2006/relationships" name="N.4 Pencarian Kewajiban yang" sheetId="6" state="visible" r:id="rId6"/>
    <sheet xmlns:r="http://schemas.openxmlformats.org/officeDocument/2006/relationships" name="N.5 Analisis Saldo Pemasok" sheetId="7" state="visible" r:id="rId7"/>
    <sheet xmlns:r="http://schemas.openxmlformats.org/officeDocument/2006/relationships" name="N.6 Penilaian Utang Usaha" sheetId="8" state="visible" r:id="rId8"/>
    <sheet xmlns:r="http://schemas.openxmlformats.org/officeDocument/2006/relationships" name="Keteranga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0.0%"/>
    <numFmt numFmtId="166" formatCode="dd/mm/yyyy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164" fontId="5" fillId="2" borderId="1" applyProtection="1" pivotButton="0" quotePrefix="0" xfId="0">
      <protection locked="0" hidden="0"/>
    </xf>
    <xf numFmtId="0" fontId="4" fillId="0" borderId="1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applyProtection="1" pivotButton="0" quotePrefix="0" xfId="0">
      <alignment horizontal="center" vertical="center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applyProtection="1" pivotButton="0" quotePrefix="0" xfId="0">
      <alignment vertical="top" wrapText="1"/>
      <protection locked="0" hidden="0"/>
    </xf>
    <xf numFmtId="0" fontId="8" fillId="0" borderId="0" pivotButton="0" quotePrefix="0" xfId="0"/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  <xf numFmtId="166" fontId="5" fillId="2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_rels/drawing7.xml.rels><Relationships xmlns="http://schemas.openxmlformats.org/package/2006/relationships"><Relationship Type="http://schemas.openxmlformats.org/officeDocument/2006/relationships/image" Target="/xl/media/image13.png" Id="rId1"/><Relationship Type="http://schemas.openxmlformats.org/officeDocument/2006/relationships/image" Target="/xl/media/image14.png" Id="rId2"/></Relationships>
</file>

<file path=xl/drawings/_rels/drawing8.xml.rels><Relationships xmlns="http://schemas.openxmlformats.org/package/2006/relationships"><Relationship Type="http://schemas.openxmlformats.org/officeDocument/2006/relationships/image" Target="/xl/media/image15.png" Id="rId1"/><Relationship Type="http://schemas.openxmlformats.org/officeDocument/2006/relationships/image" Target="/xl/media/image16.png" Id="rId2"/></Relationships>
</file>

<file path=xl/drawings/_rels/drawing9.xml.rels><Relationships xmlns="http://schemas.openxmlformats.org/package/2006/relationships"><Relationship Type="http://schemas.openxmlformats.org/officeDocument/2006/relationships/image" Target="/xl/media/image17.png" Id="rId1"/><Relationship Type="http://schemas.openxmlformats.org/officeDocument/2006/relationships/image" Target="/xl/media/image18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1" customWidth="1" min="8" max="8"/>
    <col width="12" customWidth="1" min="9" max="9"/>
    <col width="1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Induk N · Utang Usaha Farmasi</t>
        </is>
      </c>
      <c r="I2" s="3" t="inlineStr">
        <is>
          <t>Indeks KK</t>
        </is>
      </c>
      <c r="J2" s="4" t="inlineStr">
        <is>
          <t>N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Lead Schedule</t>
        </is>
      </c>
    </row>
    <row r="7">
      <c r="A7" s="3" t="inlineStr">
        <is>
          <t>PM Final (Rp)</t>
        </is>
      </c>
      <c r="C7" s="8" t="n"/>
      <c r="E7" s="3" t="inlineStr">
        <is>
          <t>M/TM</t>
        </is>
      </c>
      <c r="F7" s="9">
        <f>IF($C$7="","",IF(ABS(F17)&gt;=$C$7,"M","TM"))</f>
        <v/>
      </c>
      <c r="G7" s="3" t="inlineStr">
        <is>
          <t>CRA</t>
        </is>
      </c>
      <c r="H7" s="6" t="n"/>
    </row>
    <row r="8" ht="30" customHeight="1">
      <c r="A8" s="10" t="inlineStr">
        <is>
          <t>Ref</t>
        </is>
      </c>
      <c r="B8" s="10" t="inlineStr">
        <is>
          <t>Sub-Akun</t>
        </is>
      </c>
      <c r="C8" s="10" t="inlineStr">
        <is>
          <t>2024 Audit</t>
        </is>
      </c>
      <c r="D8" s="10" t="inlineStr">
        <is>
          <t>2025 per Buku</t>
        </is>
      </c>
      <c r="E8" s="10" t="inlineStr">
        <is>
          <t>AJE</t>
        </is>
      </c>
      <c r="F8" s="10" t="inlineStr">
        <is>
          <t>2025 Audit</t>
        </is>
      </c>
      <c r="G8" s="10" t="inlineStr">
        <is>
          <t>Naik (Turun)</t>
        </is>
      </c>
      <c r="H8" s="10" t="inlineStr">
        <is>
          <t>%</t>
        </is>
      </c>
      <c r="I8" s="10" t="inlineStr">
        <is>
          <t>Ref AJE</t>
        </is>
      </c>
      <c r="J8" s="10" t="inlineStr">
        <is>
          <t>Ref KK Anak</t>
        </is>
      </c>
    </row>
    <row r="9">
      <c r="A9" s="11" t="inlineStr">
        <is>
          <t>N-1</t>
        </is>
      </c>
      <c r="B9" s="6" t="n"/>
      <c r="C9" s="8" t="n"/>
      <c r="D9" s="8" t="n"/>
      <c r="E9" s="8" t="n"/>
      <c r="F9" s="12">
        <f>D9+E9</f>
        <v/>
      </c>
      <c r="G9" s="12">
        <f>F9-C9</f>
        <v/>
      </c>
      <c r="H9" s="13">
        <f>IF(C9=0,"",G9/C9)</f>
        <v/>
      </c>
      <c r="I9" s="6" t="n"/>
      <c r="J9" s="6" t="n"/>
    </row>
    <row r="10">
      <c r="A10" s="11" t="inlineStr">
        <is>
          <t>N-2</t>
        </is>
      </c>
      <c r="B10" s="6" t="n"/>
      <c r="C10" s="8" t="n"/>
      <c r="D10" s="8" t="n"/>
      <c r="E10" s="8" t="n"/>
      <c r="F10" s="12">
        <f>D10+E10</f>
        <v/>
      </c>
      <c r="G10" s="12">
        <f>F10-C10</f>
        <v/>
      </c>
      <c r="H10" s="13">
        <f>IF(C10=0,"",G10/C10)</f>
        <v/>
      </c>
      <c r="I10" s="6" t="n"/>
      <c r="J10" s="6" t="n"/>
    </row>
    <row r="11">
      <c r="A11" s="11" t="inlineStr">
        <is>
          <t>N-3</t>
        </is>
      </c>
      <c r="B11" s="6" t="n"/>
      <c r="C11" s="8" t="n"/>
      <c r="D11" s="8" t="n"/>
      <c r="E11" s="8" t="n"/>
      <c r="F11" s="12">
        <f>D11+E11</f>
        <v/>
      </c>
      <c r="G11" s="12">
        <f>F11-C11</f>
        <v/>
      </c>
      <c r="H11" s="13">
        <f>IF(C11=0,"",G11/C11)</f>
        <v/>
      </c>
      <c r="I11" s="6" t="n"/>
      <c r="J11" s="6" t="n"/>
    </row>
    <row r="12">
      <c r="A12" s="11" t="inlineStr">
        <is>
          <t>N-4</t>
        </is>
      </c>
      <c r="B12" s="6" t="n"/>
      <c r="C12" s="8" t="n"/>
      <c r="D12" s="8" t="n"/>
      <c r="E12" s="8" t="n"/>
      <c r="F12" s="12">
        <f>D12+E12</f>
        <v/>
      </c>
      <c r="G12" s="12">
        <f>F12-C12</f>
        <v/>
      </c>
      <c r="H12" s="13">
        <f>IF(C12=0,"",G12/C12)</f>
        <v/>
      </c>
      <c r="I12" s="6" t="n"/>
      <c r="J12" s="6" t="n"/>
    </row>
    <row r="13">
      <c r="A13" s="11" t="inlineStr">
        <is>
          <t>N-5</t>
        </is>
      </c>
      <c r="B13" s="6" t="n"/>
      <c r="C13" s="8" t="n"/>
      <c r="D13" s="8" t="n"/>
      <c r="E13" s="8" t="n"/>
      <c r="F13" s="12">
        <f>D13+E13</f>
        <v/>
      </c>
      <c r="G13" s="12">
        <f>F13-C13</f>
        <v/>
      </c>
      <c r="H13" s="13">
        <f>IF(C13=0,"",G13/C13)</f>
        <v/>
      </c>
      <c r="I13" s="6" t="n"/>
      <c r="J13" s="6" t="n"/>
    </row>
    <row r="14">
      <c r="A14" s="11" t="inlineStr">
        <is>
          <t>N-6</t>
        </is>
      </c>
      <c r="B14" s="6" t="n"/>
      <c r="C14" s="8" t="n"/>
      <c r="D14" s="8" t="n"/>
      <c r="E14" s="8" t="n"/>
      <c r="F14" s="12">
        <f>D14+E14</f>
        <v/>
      </c>
      <c r="G14" s="12">
        <f>F14-C14</f>
        <v/>
      </c>
      <c r="H14" s="13">
        <f>IF(C14=0,"",G14/C14)</f>
        <v/>
      </c>
      <c r="I14" s="6" t="n"/>
      <c r="J14" s="6" t="n"/>
    </row>
    <row r="15">
      <c r="A15" s="11" t="inlineStr">
        <is>
          <t>N-7</t>
        </is>
      </c>
      <c r="B15" s="6" t="n"/>
      <c r="C15" s="8" t="n"/>
      <c r="D15" s="8" t="n"/>
      <c r="E15" s="8" t="n"/>
      <c r="F15" s="12">
        <f>D15+E15</f>
        <v/>
      </c>
      <c r="G15" s="12">
        <f>F15-C15</f>
        <v/>
      </c>
      <c r="H15" s="13">
        <f>IF(C15=0,"",G15/C15)</f>
        <v/>
      </c>
      <c r="I15" s="6" t="n"/>
      <c r="J15" s="6" t="n"/>
    </row>
    <row r="16">
      <c r="A16" s="11" t="inlineStr">
        <is>
          <t>N-8</t>
        </is>
      </c>
      <c r="B16" s="6" t="n"/>
      <c r="C16" s="8" t="n"/>
      <c r="D16" s="8" t="n"/>
      <c r="E16" s="8" t="n"/>
      <c r="F16" s="12">
        <f>D16+E16</f>
        <v/>
      </c>
      <c r="G16" s="12">
        <f>F16-C16</f>
        <v/>
      </c>
      <c r="H16" s="13">
        <f>IF(C16=0,"",G16/C16)</f>
        <v/>
      </c>
      <c r="I16" s="6" t="n"/>
      <c r="J16" s="6" t="n"/>
    </row>
    <row r="17">
      <c r="B17" s="9" t="inlineStr">
        <is>
          <t>Jumlah</t>
        </is>
      </c>
      <c r="C17" s="14">
        <f>SUM(C9:C16)</f>
        <v/>
      </c>
      <c r="D17" s="14">
        <f>SUM(D9:D16)</f>
        <v/>
      </c>
      <c r="E17" s="14">
        <f>SUM(E9:E16)</f>
        <v/>
      </c>
      <c r="F17" s="14">
        <f>SUM(F9:F16)</f>
        <v/>
      </c>
      <c r="G17" s="14">
        <f>SUM(G9:G16)</f>
        <v/>
      </c>
      <c r="H17" s="15">
        <f>IF(C17=0,"",G17/C17)</f>
        <v/>
      </c>
    </row>
    <row r="19">
      <c r="A19" s="7" t="inlineStr">
        <is>
          <t>B. Jawaban Asersi (Otomatis dari Program dan KK Anak)</t>
        </is>
      </c>
    </row>
    <row r="20" ht="30" customHeight="1">
      <c r="A20" s="10" t="inlineStr">
        <is>
          <t>Kode</t>
        </is>
      </c>
      <c r="B20" s="10" t="inlineStr">
        <is>
          <t>Asersi</t>
        </is>
      </c>
      <c r="C20" s="10" t="inlineStr">
        <is>
          <t>Dijawab oleh Prosedur</t>
        </is>
      </c>
      <c r="D20" s="10" t="inlineStr"/>
      <c r="E20" s="10" t="inlineStr">
        <is>
          <t>Relevan</t>
        </is>
      </c>
      <c r="F20" s="10" t="inlineStr">
        <is>
          <t>Selesai</t>
        </is>
      </c>
      <c r="G20" s="10" t="inlineStr">
        <is>
          <t>Pengecualian</t>
        </is>
      </c>
      <c r="H20" s="10" t="inlineStr">
        <is>
          <t>Jawaban</t>
        </is>
      </c>
      <c r="I20" s="10" t="inlineStr">
        <is>
          <t>Ref AJE</t>
        </is>
      </c>
      <c r="J20" s="10" t="inlineStr">
        <is>
          <t>Catatan</t>
        </is>
      </c>
    </row>
    <row r="21" ht="30" customHeight="1">
      <c r="A21" s="16" t="inlineStr">
        <is>
          <t>E</t>
        </is>
      </c>
      <c r="B21" s="17" t="inlineStr">
        <is>
          <t>Keberadaan</t>
        </is>
      </c>
      <c r="C21" s="18" t="inlineStr">
        <is>
          <t>N.1, N.2, N.3</t>
        </is>
      </c>
      <c r="D21" s="19" t="n"/>
      <c r="E21" s="20">
        <f>COUNTIF('N Program'!$D$8:$D$13,"X")</f>
        <v/>
      </c>
      <c r="F21" s="20">
        <f>COUNTIFS('N Program'!$D$8:$D$13,"X",'N Program'!$I$8:$I$13,"Selesai")</f>
        <v/>
      </c>
      <c r="G21" s="20">
        <f>COUNTIFS('N Program'!$D$8:$D$13,"X",'N Program'!$J$8:$J$13,"Pengecualian")</f>
        <v/>
      </c>
      <c r="H21" s="16">
        <f>IF(E21=0,"n/a",IF(G21&gt;0,"TT",IF(F21+COUNTIFS('N Program'!$D$8:$D$13,"X",'N Program'!$I$8:$I$13,"Tidak Relevan")&lt;E21,"BD",IF(F21=0,"n/a",IF(COUNTIFS('N Program'!$D$8:$D$13,"X",'N Program'!$J$8:$J$13,"Koreksi (AJE)")&gt;0,"T-K","T")))))</f>
        <v/>
      </c>
      <c r="I21" s="21" t="n"/>
      <c r="J21" s="21" t="n"/>
    </row>
    <row r="22" ht="30" customHeight="1">
      <c r="A22" s="16" t="inlineStr">
        <is>
          <t>V</t>
        </is>
      </c>
      <c r="B22" s="17" t="inlineStr">
        <is>
          <t>Penilaian</t>
        </is>
      </c>
      <c r="C22" s="18" t="inlineStr">
        <is>
          <t>N.2, N.4, N.6</t>
        </is>
      </c>
      <c r="D22" s="19" t="n"/>
      <c r="E22" s="20">
        <f>COUNTIF('N Program'!$E$8:$E$13,"X")</f>
        <v/>
      </c>
      <c r="F22" s="20">
        <f>COUNTIFS('N Program'!$E$8:$E$13,"X",'N Program'!$I$8:$I$13,"Selesai")</f>
        <v/>
      </c>
      <c r="G22" s="20">
        <f>COUNTIFS('N Program'!$E$8:$E$13,"X",'N Program'!$J$8:$J$13,"Pengecualian")</f>
        <v/>
      </c>
      <c r="H22" s="16">
        <f>IF(E22=0,"n/a",IF(G22&gt;0,"TT",IF(F22+COUNTIFS('N Program'!$E$8:$E$13,"X",'N Program'!$I$8:$I$13,"Tidak Relevan")&lt;E22,"BD",IF(F22=0,"n/a",IF(COUNTIFS('N Program'!$E$8:$E$13,"X",'N Program'!$J$8:$J$13,"Koreksi (AJE)")&gt;0,"T-K","T")))))</f>
        <v/>
      </c>
      <c r="I22" s="21" t="n"/>
      <c r="J22" s="21" t="n"/>
    </row>
    <row r="23" ht="30" customHeight="1">
      <c r="A23" s="16" t="inlineStr">
        <is>
          <t>C</t>
        </is>
      </c>
      <c r="B23" s="17" t="inlineStr">
        <is>
          <t>Kelengkapan</t>
        </is>
      </c>
      <c r="C23" s="18" t="inlineStr">
        <is>
          <t>N.1, N.2, N.3, N.4, N.5</t>
        </is>
      </c>
      <c r="D23" s="19" t="n"/>
      <c r="E23" s="20">
        <f>COUNTIF('N Program'!$F$8:$F$13,"X")</f>
        <v/>
      </c>
      <c r="F23" s="20">
        <f>COUNTIFS('N Program'!$F$8:$F$13,"X",'N Program'!$I$8:$I$13,"Selesai")</f>
        <v/>
      </c>
      <c r="G23" s="20">
        <f>COUNTIFS('N Program'!$F$8:$F$13,"X",'N Program'!$J$8:$J$13,"Pengecualian")</f>
        <v/>
      </c>
      <c r="H23" s="16">
        <f>IF(E23=0,"n/a",IF(G23&gt;0,"TT",IF(F23+COUNTIFS('N Program'!$F$8:$F$13,"X",'N Program'!$I$8:$I$13,"Tidak Relevan")&lt;E23,"BD",IF(F23=0,"n/a",IF(COUNTIFS('N Program'!$F$8:$F$13,"X",'N Program'!$J$8:$J$13,"Koreksi (AJE)")&gt;0,"T-K","T")))))</f>
        <v/>
      </c>
      <c r="I23" s="21" t="n"/>
      <c r="J23" s="21" t="n"/>
    </row>
    <row r="24" ht="30" customHeight="1">
      <c r="A24" s="16" t="inlineStr">
        <is>
          <t>R</t>
        </is>
      </c>
      <c r="B24" s="17" t="inlineStr">
        <is>
          <t>Hak dan Kewajiban</t>
        </is>
      </c>
      <c r="C24" s="18" t="inlineStr">
        <is>
          <t>N.2, N.3</t>
        </is>
      </c>
      <c r="D24" s="19" t="n"/>
      <c r="E24" s="20">
        <f>COUNTIF('N Program'!$G$8:$G$13,"X")</f>
        <v/>
      </c>
      <c r="F24" s="20">
        <f>COUNTIFS('N Program'!$G$8:$G$13,"X",'N Program'!$I$8:$I$13,"Selesai")</f>
        <v/>
      </c>
      <c r="G24" s="20">
        <f>COUNTIFS('N Program'!$G$8:$G$13,"X",'N Program'!$J$8:$J$13,"Pengecualian")</f>
        <v/>
      </c>
      <c r="H24" s="16">
        <f>IF(E24=0,"n/a",IF(G24&gt;0,"TT",IF(F24+COUNTIFS('N Program'!$G$8:$G$13,"X",'N Program'!$I$8:$I$13,"Tidak Relevan")&lt;E24,"BD",IF(F24=0,"n/a",IF(COUNTIFS('N Program'!$G$8:$G$13,"X",'N Program'!$J$8:$J$13,"Koreksi (AJE)")&gt;0,"T-K","T")))))</f>
        <v/>
      </c>
      <c r="I24" s="21" t="n"/>
      <c r="J24" s="21" t="n"/>
    </row>
    <row r="25" ht="30" customHeight="1">
      <c r="A25" s="16" t="inlineStr">
        <is>
          <t>P</t>
        </is>
      </c>
      <c r="B25" s="17" t="inlineStr">
        <is>
          <t>Penyajian dan Pengungkapan</t>
        </is>
      </c>
      <c r="C25" s="18" t="inlineStr">
        <is>
          <t>N.2</t>
        </is>
      </c>
      <c r="D25" s="19" t="n"/>
      <c r="E25" s="20">
        <f>COUNTIF('N Program'!$H$8:$H$13,"X")</f>
        <v/>
      </c>
      <c r="F25" s="20">
        <f>COUNTIFS('N Program'!$H$8:$H$13,"X",'N Program'!$I$8:$I$13,"Selesai")</f>
        <v/>
      </c>
      <c r="G25" s="20">
        <f>COUNTIFS('N Program'!$H$8:$H$13,"X",'N Program'!$J$8:$J$13,"Pengecualian")</f>
        <v/>
      </c>
      <c r="H25" s="16">
        <f>IF(E25=0,"n/a",IF(G25&gt;0,"TT",IF(F25+COUNTIFS('N Program'!$H$8:$H$13,"X",'N Program'!$I$8:$I$13,"Tidak Relevan")&lt;E25,"BD",IF(F25=0,"n/a",IF(COUNTIFS('N Program'!$H$8:$H$13,"X",'N Program'!$J$8:$J$13,"Koreksi (AJE)")&gt;0,"T-K","T")))))</f>
        <v/>
      </c>
      <c r="I25" s="21" t="n"/>
      <c r="J25" s="21" t="n"/>
    </row>
    <row r="27">
      <c r="A27" s="7" t="inlineStr">
        <is>
          <t>C. Kesimpulan Akun</t>
        </is>
      </c>
    </row>
    <row r="28">
      <c r="A28" s="3" t="inlineStr">
        <is>
          <t>Status</t>
        </is>
      </c>
      <c r="C28" s="9">
        <f>IF(COUNTIF(H21:H25,"TT")&gt;0,"Belum terpenuhi",IF(COUNTIF(H21:H25,"BD")+COUNTBLANK(H21:H25)&gt;0,"Pengujian belum selesai",IF(COUNTIF(H21:H25,"T-K")&gt;0,"Wajar setelah penyesuaian audit","Wajar, tidak ada salah saji")))</f>
        <v/>
      </c>
      <c r="D28" s="22" t="n"/>
      <c r="E28" s="22" t="n"/>
      <c r="F28" s="23" t="n"/>
    </row>
    <row r="29">
      <c r="A29" s="3" t="inlineStr">
        <is>
          <t>Kesimpulan Auditor</t>
        </is>
      </c>
      <c r="C29" s="24" t="inlineStr">
        <is>
          <t>Berdasarkan prosedur audit yang dilaksanakan, saldo utang Usaha Farmasi per 31 Desember 2025 disajikan wajar dalam semua hal yang material (sesuaikan).</t>
        </is>
      </c>
    </row>
    <row r="30"/>
    <row r="31"/>
    <row r="33">
      <c r="A33" s="25" t="inlineStr">
        <is>
          <t>Jawaban: T terpenuhi, T-K terpenuhi setelah koreksi, TT ada pengecualian, BD belum semua prosedur relevan selesai. Hasil akun mengalir ke A-1.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7">
    <mergeCell ref="C24:D24"/>
    <mergeCell ref="C21:D21"/>
    <mergeCell ref="C25:D25"/>
    <mergeCell ref="C29:J31"/>
    <mergeCell ref="C22:D22"/>
    <mergeCell ref="C23:D23"/>
    <mergeCell ref="C28:F28"/>
  </mergeCells>
  <dataValidations count="1">
    <dataValidation sqref="H7" showDropDown="0" showInputMessage="0" showErrorMessage="0" allowBlank="1" type="list">
      <formula1>"Minimal,Rendah,Sedang,Tinggi"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13" customWidth="1" min="9" max="9"/>
    <col width="16" customWidth="1" min="10" max="10"/>
    <col width="10" customWidth="1" min="11" max="11"/>
    <col width="24" customWidth="1" min="12" max="12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Program Prosedur Substantif N · Utang Usaha Farmasi</t>
        </is>
      </c>
      <c r="K2" s="3" t="inlineStr">
        <is>
          <t>Indeks KK</t>
        </is>
      </c>
      <c r="L2" s="4" t="inlineStr">
        <is>
          <t>N</t>
        </is>
      </c>
    </row>
    <row r="3" ht="26" customHeight="1">
      <c r="C3" s="3" t="inlineStr">
        <is>
          <t>Klien</t>
        </is>
      </c>
      <c r="D3" s="5" t="n"/>
      <c r="K3" s="3" t="inlineStr">
        <is>
          <t>Disusun/Tgl</t>
        </is>
      </c>
      <c r="L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K4" s="3" t="inlineStr">
        <is>
          <t>Direview/Tgl</t>
        </is>
      </c>
      <c r="L4" s="6" t="n"/>
    </row>
    <row r="6">
      <c r="A6" s="7" t="inlineStr">
        <is>
          <t>Prosedur Substantif Primer (Whitepaper) dan Prosedur Tambahan</t>
        </is>
      </c>
    </row>
    <row r="7" ht="30" customHeight="1">
      <c r="A7" s="10" t="inlineStr">
        <is>
          <t>Ref</t>
        </is>
      </c>
      <c r="B7" s="10" t="inlineStr">
        <is>
          <t>Prosedur</t>
        </is>
      </c>
      <c r="C7" s="10" t="inlineStr">
        <is>
          <t>Jenis</t>
        </is>
      </c>
      <c r="D7" s="10" t="inlineStr">
        <is>
          <t>E</t>
        </is>
      </c>
      <c r="E7" s="10" t="inlineStr">
        <is>
          <t>V</t>
        </is>
      </c>
      <c r="F7" s="10" t="inlineStr">
        <is>
          <t>C</t>
        </is>
      </c>
      <c r="G7" s="10" t="inlineStr">
        <is>
          <t>R</t>
        </is>
      </c>
      <c r="H7" s="10" t="inlineStr">
        <is>
          <t>P</t>
        </is>
      </c>
      <c r="I7" s="10" t="inlineStr">
        <is>
          <t>Status</t>
        </is>
      </c>
      <c r="J7" s="10" t="inlineStr">
        <is>
          <t>Hasil</t>
        </is>
      </c>
      <c r="K7" s="10" t="inlineStr">
        <is>
          <t>Ref AJE</t>
        </is>
      </c>
      <c r="L7" s="10" t="inlineStr">
        <is>
          <t>Sheet KK Anak</t>
        </is>
      </c>
    </row>
    <row r="8" ht="28" customHeight="1">
      <c r="A8" s="26" t="inlineStr">
        <is>
          <t>N.1</t>
        </is>
      </c>
      <c r="B8" s="18" t="inlineStr">
        <is>
          <t>Kesesuaian Buku Pembantu dengan Buku Besar</t>
        </is>
      </c>
      <c r="C8" s="17" t="inlineStr">
        <is>
          <t>PSP</t>
        </is>
      </c>
      <c r="D8" s="20" t="inlineStr">
        <is>
          <t>X</t>
        </is>
      </c>
      <c r="E8" s="20" t="n"/>
      <c r="F8" s="20" t="inlineStr">
        <is>
          <t>X</t>
        </is>
      </c>
      <c r="G8" s="20" t="n"/>
      <c r="H8" s="20" t="n"/>
      <c r="I8" s="26">
        <f>IF('N.1 Kesesuaian Buku Pembantu'!$C$7="","Belum",'N.1 Kesesuaian Buku Pembantu'!$C$7)</f>
        <v/>
      </c>
      <c r="J8" s="17">
        <f>IF('N.1 Kesesuaian Buku Pembantu'!$C$8="","",'N.1 Kesesuaian Buku Pembantu'!$C$8)</f>
        <v/>
      </c>
      <c r="K8" s="17">
        <f>IF('N.1 Kesesuaian Buku Pembantu'!$C$9="","",'N.1 Kesesuaian Buku Pembantu'!$C$9)</f>
        <v/>
      </c>
      <c r="L8" s="18" t="inlineStr">
        <is>
          <t>N.1 Kesesuaian Buku Pembantu</t>
        </is>
      </c>
    </row>
    <row r="9" ht="28" customHeight="1">
      <c r="A9" s="26" t="inlineStr">
        <is>
          <t>N.2</t>
        </is>
      </c>
      <c r="B9" s="18" t="inlineStr">
        <is>
          <t>Tinjauan Item yang Tidak Biasa</t>
        </is>
      </c>
      <c r="C9" s="17" t="inlineStr">
        <is>
          <t>PSP</t>
        </is>
      </c>
      <c r="D9" s="20" t="inlineStr">
        <is>
          <t>X</t>
        </is>
      </c>
      <c r="E9" s="20" t="inlineStr">
        <is>
          <t>X</t>
        </is>
      </c>
      <c r="F9" s="20" t="inlineStr">
        <is>
          <t>X</t>
        </is>
      </c>
      <c r="G9" s="20" t="inlineStr">
        <is>
          <t>X</t>
        </is>
      </c>
      <c r="H9" s="20" t="inlineStr">
        <is>
          <t>X</t>
        </is>
      </c>
      <c r="I9" s="26">
        <f>IF('N.2 Tinjauan Item yang Tidak'!$C$7="","Belum",'N.2 Tinjauan Item yang Tidak'!$C$7)</f>
        <v/>
      </c>
      <c r="J9" s="17">
        <f>IF('N.2 Tinjauan Item yang Tidak'!$C$8="","",'N.2 Tinjauan Item yang Tidak'!$C$8)</f>
        <v/>
      </c>
      <c r="K9" s="17">
        <f>IF('N.2 Tinjauan Item yang Tidak'!$C$9="","",'N.2 Tinjauan Item yang Tidak'!$C$9)</f>
        <v/>
      </c>
      <c r="L9" s="18" t="inlineStr">
        <is>
          <t>N.2 Tinjauan Item yang Tidak</t>
        </is>
      </c>
    </row>
    <row r="10" ht="28" customHeight="1">
      <c r="A10" s="26" t="inlineStr">
        <is>
          <t>N.3</t>
        </is>
      </c>
      <c r="B10" s="18" t="inlineStr">
        <is>
          <t>Cutoff Utang Usaha</t>
        </is>
      </c>
      <c r="C10" s="17" t="inlineStr">
        <is>
          <t>PSP</t>
        </is>
      </c>
      <c r="D10" s="20" t="inlineStr">
        <is>
          <t>X</t>
        </is>
      </c>
      <c r="E10" s="20" t="n"/>
      <c r="F10" s="20" t="inlineStr">
        <is>
          <t>X</t>
        </is>
      </c>
      <c r="G10" s="20" t="inlineStr">
        <is>
          <t>X</t>
        </is>
      </c>
      <c r="H10" s="20" t="n"/>
      <c r="I10" s="26">
        <f>IF('N.3 Cutoff Utang Usaha'!$C$7="","Belum",'N.3 Cutoff Utang Usaha'!$C$7)</f>
        <v/>
      </c>
      <c r="J10" s="17">
        <f>IF('N.3 Cutoff Utang Usaha'!$C$8="","",'N.3 Cutoff Utang Usaha'!$C$8)</f>
        <v/>
      </c>
      <c r="K10" s="17">
        <f>IF('N.3 Cutoff Utang Usaha'!$C$9="","",'N.3 Cutoff Utang Usaha'!$C$9)</f>
        <v/>
      </c>
      <c r="L10" s="18" t="inlineStr">
        <is>
          <t>N.3 Cutoff Utang Usaha</t>
        </is>
      </c>
    </row>
    <row r="11" ht="28" customHeight="1">
      <c r="A11" s="26" t="inlineStr">
        <is>
          <t>N.4</t>
        </is>
      </c>
      <c r="B11" s="18" t="inlineStr">
        <is>
          <t>Pencarian Kewajiban yang Belum Tercatat</t>
        </is>
      </c>
      <c r="C11" s="17" t="inlineStr">
        <is>
          <t>PSP</t>
        </is>
      </c>
      <c r="D11" s="20" t="n"/>
      <c r="E11" s="20" t="inlineStr">
        <is>
          <t>X</t>
        </is>
      </c>
      <c r="F11" s="20" t="inlineStr">
        <is>
          <t>X</t>
        </is>
      </c>
      <c r="G11" s="20" t="n"/>
      <c r="H11" s="20" t="n"/>
      <c r="I11" s="26">
        <f>IF('N.4 Pencarian Kewajiban yang'!$C$7="","Belum",'N.4 Pencarian Kewajiban yang'!$C$7)</f>
        <v/>
      </c>
      <c r="J11" s="17">
        <f>IF('N.4 Pencarian Kewajiban yang'!$C$8="","",'N.4 Pencarian Kewajiban yang'!$C$8)</f>
        <v/>
      </c>
      <c r="K11" s="17">
        <f>IF('N.4 Pencarian Kewajiban yang'!$C$9="","",'N.4 Pencarian Kewajiban yang'!$C$9)</f>
        <v/>
      </c>
      <c r="L11" s="18" t="inlineStr">
        <is>
          <t>N.4 Pencarian Kewajiban yang</t>
        </is>
      </c>
    </row>
    <row r="12" ht="28" customHeight="1">
      <c r="A12" s="26" t="inlineStr">
        <is>
          <t>N.5</t>
        </is>
      </c>
      <c r="B12" s="18" t="inlineStr">
        <is>
          <t>Analisis Saldo Pemasok</t>
        </is>
      </c>
      <c r="C12" s="17" t="inlineStr">
        <is>
          <t>PSP</t>
        </is>
      </c>
      <c r="D12" s="20" t="n"/>
      <c r="E12" s="20" t="n"/>
      <c r="F12" s="20" t="inlineStr">
        <is>
          <t>X</t>
        </is>
      </c>
      <c r="G12" s="20" t="n"/>
      <c r="H12" s="20" t="n"/>
      <c r="I12" s="26">
        <f>IF('N.5 Analisis Saldo Pemasok'!$C$7="","Belum",'N.5 Analisis Saldo Pemasok'!$C$7)</f>
        <v/>
      </c>
      <c r="J12" s="17">
        <f>IF('N.5 Analisis Saldo Pemasok'!$C$8="","",'N.5 Analisis Saldo Pemasok'!$C$8)</f>
        <v/>
      </c>
      <c r="K12" s="17">
        <f>IF('N.5 Analisis Saldo Pemasok'!$C$9="","",'N.5 Analisis Saldo Pemasok'!$C$9)</f>
        <v/>
      </c>
      <c r="L12" s="18" t="inlineStr">
        <is>
          <t>N.5 Analisis Saldo Pemasok</t>
        </is>
      </c>
    </row>
    <row r="13" ht="28" customHeight="1">
      <c r="A13" s="26" t="inlineStr">
        <is>
          <t>N.6</t>
        </is>
      </c>
      <c r="B13" s="18" t="inlineStr">
        <is>
          <t>Penilaian Utang Usaha dalam Mata Uang Asing</t>
        </is>
      </c>
      <c r="C13" s="17" t="inlineStr">
        <is>
          <t>PSP</t>
        </is>
      </c>
      <c r="D13" s="20" t="n"/>
      <c r="E13" s="20" t="inlineStr">
        <is>
          <t>X</t>
        </is>
      </c>
      <c r="F13" s="20" t="n"/>
      <c r="G13" s="20" t="n"/>
      <c r="H13" s="20" t="n"/>
      <c r="I13" s="26">
        <f>IF('N.6 Penilaian Utang Usaha'!$C$7="","Belum",'N.6 Penilaian Utang Usaha'!$C$7)</f>
        <v/>
      </c>
      <c r="J13" s="17">
        <f>IF('N.6 Penilaian Utang Usaha'!$C$8="","",'N.6 Penilaian Utang Usaha'!$C$8)</f>
        <v/>
      </c>
      <c r="K13" s="17">
        <f>IF('N.6 Penilaian Utang Usaha'!$C$9="","",'N.6 Penilaian Utang Usaha'!$C$9)</f>
        <v/>
      </c>
      <c r="L13" s="18" t="inlineStr">
        <is>
          <t>N.6 Penilaian Utang Usaha</t>
        </is>
      </c>
    </row>
    <row r="15">
      <c r="A15" s="25" t="inlineStr">
        <is>
          <t>Status dan hasil diisi di sheet KK anak masing-masing prosedur (sel kuning bagian A). Program ini dan jawaban asersi di Lead terisi otomatis.</t>
        </is>
      </c>
    </row>
    <row r="16">
      <c r="A16" s="25" t="inlineStr">
        <is>
          <t>X = asersi yang dijawab prosedur (whitepaper Asersi dan Prosedur Audit Substantif Primer). Prosedur tambahan merespons risiko gabungan (CRA) dan karakter industri.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N.1 · Kesesuaian Buku Pembantu dengan Buku Besar</t>
        </is>
      </c>
      <c r="F2" s="3" t="inlineStr">
        <is>
          <t>Indeks KK</t>
        </is>
      </c>
      <c r="G2" s="4" t="inlineStr">
        <is>
          <t>N.1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Footing rincian utang per pemasok dan cocokkan dengan buku besar.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N.2 · Tinjauan Item yang Tidak Biasa</t>
        </is>
      </c>
      <c r="F2" s="3" t="inlineStr">
        <is>
          <t>Indeks KK</t>
        </is>
      </c>
      <c r="G2" s="4" t="inlineStr">
        <is>
          <t>N.2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V Penilaian, C Kelengkapan, R Hak dan Kewajiban,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Reviu saldo debit, saldo pihak berelasi, dan saldo tidak bergerak; selidiki penyebabnya.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2" customWidth="1" min="4" max="4"/>
    <col width="16" customWidth="1" min="5" max="5"/>
    <col width="14" customWidth="1" min="6" max="6"/>
    <col width="14" customWidth="1" min="7" max="7"/>
    <col width="14" customWidth="1" min="8" max="8"/>
    <col width="26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N.3 · Cutoff Utang Usaha</t>
        </is>
      </c>
      <c r="H2" s="3" t="inlineStr">
        <is>
          <t>Indeks KK</t>
        </is>
      </c>
      <c r="I2" s="4" t="inlineStr">
        <is>
          <t>N.3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C Kelengkapan, R Hak dan Kewajiban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Uji penerimaan barang/jasa sekitar tanggal neraca dan pencatatan utangnya.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Tanggal</t>
        </is>
      </c>
      <c r="C15" s="10" t="inlineStr">
        <is>
          <t>No. Dokumen</t>
        </is>
      </c>
      <c r="D15" s="10" t="inlineStr">
        <is>
          <t>Uraian</t>
        </is>
      </c>
      <c r="E15" s="10" t="inlineStr">
        <is>
          <t>Nilai</t>
        </is>
      </c>
      <c r="F15" s="10" t="inlineStr">
        <is>
          <t>Dicatat Periode</t>
        </is>
      </c>
      <c r="G15" s="10" t="inlineStr">
        <is>
          <t>Seharusnya Periode</t>
        </is>
      </c>
      <c r="H15" s="10" t="inlineStr">
        <is>
          <t>Hasil</t>
        </is>
      </c>
      <c r="I15" s="10" t="inlineStr">
        <is>
          <t>Keterangan</t>
        </is>
      </c>
    </row>
    <row r="16">
      <c r="A16" s="11" t="n">
        <v>1</v>
      </c>
      <c r="B16" s="29" t="n"/>
      <c r="C16" s="6" t="n"/>
      <c r="D16" s="6" t="n"/>
      <c r="E16" s="8" t="n"/>
      <c r="F16" s="6" t="n"/>
      <c r="G16" s="6" t="n"/>
      <c r="H16" s="11">
        <f>IF(OR(F16="",G16=""),"",IF(F16=G16,"Sesuai","Salah Saji"))</f>
        <v/>
      </c>
      <c r="I16" s="6" t="n"/>
    </row>
    <row r="17">
      <c r="A17" s="11" t="n">
        <v>2</v>
      </c>
      <c r="B17" s="29" t="n"/>
      <c r="C17" s="6" t="n"/>
      <c r="D17" s="6" t="n"/>
      <c r="E17" s="8" t="n"/>
      <c r="F17" s="6" t="n"/>
      <c r="G17" s="6" t="n"/>
      <c r="H17" s="11">
        <f>IF(OR(F17="",G17=""),"",IF(F17=G17,"Sesuai","Salah Saji"))</f>
        <v/>
      </c>
      <c r="I17" s="6" t="n"/>
    </row>
    <row r="18">
      <c r="A18" s="11" t="n">
        <v>3</v>
      </c>
      <c r="B18" s="29" t="n"/>
      <c r="C18" s="6" t="n"/>
      <c r="D18" s="6" t="n"/>
      <c r="E18" s="8" t="n"/>
      <c r="F18" s="6" t="n"/>
      <c r="G18" s="6" t="n"/>
      <c r="H18" s="11">
        <f>IF(OR(F18="",G18=""),"",IF(F18=G18,"Sesuai","Salah Saji"))</f>
        <v/>
      </c>
      <c r="I18" s="6" t="n"/>
    </row>
    <row r="19">
      <c r="A19" s="11" t="n">
        <v>4</v>
      </c>
      <c r="B19" s="29" t="n"/>
      <c r="C19" s="6" t="n"/>
      <c r="D19" s="6" t="n"/>
      <c r="E19" s="8" t="n"/>
      <c r="F19" s="6" t="n"/>
      <c r="G19" s="6" t="n"/>
      <c r="H19" s="11">
        <f>IF(OR(F19="",G19=""),"",IF(F19=G19,"Sesuai","Salah Saji"))</f>
        <v/>
      </c>
      <c r="I19" s="6" t="n"/>
    </row>
    <row r="20">
      <c r="A20" s="11" t="n">
        <v>5</v>
      </c>
      <c r="B20" s="29" t="n"/>
      <c r="C20" s="6" t="n"/>
      <c r="D20" s="6" t="n"/>
      <c r="E20" s="8" t="n"/>
      <c r="F20" s="6" t="n"/>
      <c r="G20" s="6" t="n"/>
      <c r="H20" s="11">
        <f>IF(OR(F20="",G20=""),"",IF(F20=G20,"Sesuai","Salah Saji"))</f>
        <v/>
      </c>
      <c r="I20" s="6" t="n"/>
    </row>
    <row r="21">
      <c r="A21" s="11" t="n">
        <v>6</v>
      </c>
      <c r="B21" s="29" t="n"/>
      <c r="C21" s="6" t="n"/>
      <c r="D21" s="6" t="n"/>
      <c r="E21" s="8" t="n"/>
      <c r="F21" s="6" t="n"/>
      <c r="G21" s="6" t="n"/>
      <c r="H21" s="11">
        <f>IF(OR(F21="",G21=""),"",IF(F21=G21,"Sesuai","Salah Saji"))</f>
        <v/>
      </c>
      <c r="I21" s="6" t="n"/>
    </row>
    <row r="22">
      <c r="A22" s="11" t="n">
        <v>7</v>
      </c>
      <c r="B22" s="29" t="n"/>
      <c r="C22" s="6" t="n"/>
      <c r="D22" s="6" t="n"/>
      <c r="E22" s="8" t="n"/>
      <c r="F22" s="6" t="n"/>
      <c r="G22" s="6" t="n"/>
      <c r="H22" s="11">
        <f>IF(OR(F22="",G22=""),"",IF(F22=G22,"Sesuai","Salah Saji"))</f>
        <v/>
      </c>
      <c r="I22" s="6" t="n"/>
    </row>
    <row r="23">
      <c r="A23" s="11" t="n">
        <v>8</v>
      </c>
      <c r="B23" s="29" t="n"/>
      <c r="C23" s="6" t="n"/>
      <c r="D23" s="6" t="n"/>
      <c r="E23" s="8" t="n"/>
      <c r="F23" s="6" t="n"/>
      <c r="G23" s="6" t="n"/>
      <c r="H23" s="11">
        <f>IF(OR(F23="",G23=""),"",IF(F23=G23,"Sesuai","Salah Saji"))</f>
        <v/>
      </c>
      <c r="I23" s="6" t="n"/>
    </row>
    <row r="24">
      <c r="A24" s="11" t="n">
        <v>9</v>
      </c>
      <c r="B24" s="29" t="n"/>
      <c r="C24" s="6" t="n"/>
      <c r="D24" s="6" t="n"/>
      <c r="E24" s="8" t="n"/>
      <c r="F24" s="6" t="n"/>
      <c r="G24" s="6" t="n"/>
      <c r="H24" s="11">
        <f>IF(OR(F24="",G24=""),"",IF(F24=G24,"Sesuai","Salah Saji"))</f>
        <v/>
      </c>
      <c r="I24" s="6" t="n"/>
    </row>
    <row r="25">
      <c r="A25" s="11" t="n">
        <v>10</v>
      </c>
      <c r="B25" s="29" t="n"/>
      <c r="C25" s="6" t="n"/>
      <c r="D25" s="6" t="n"/>
      <c r="E25" s="8" t="n"/>
      <c r="F25" s="6" t="n"/>
      <c r="G25" s="6" t="n"/>
      <c r="H25" s="11">
        <f>IF(OR(F25="",G25=""),"",IF(F25=G25,"Sesuai","Salah Saji"))</f>
        <v/>
      </c>
      <c r="I25" s="6" t="n"/>
    </row>
    <row r="26">
      <c r="A26" s="11" t="n">
        <v>11</v>
      </c>
      <c r="B26" s="29" t="n"/>
      <c r="C26" s="6" t="n"/>
      <c r="D26" s="6" t="n"/>
      <c r="E26" s="8" t="n"/>
      <c r="F26" s="6" t="n"/>
      <c r="G26" s="6" t="n"/>
      <c r="H26" s="11">
        <f>IF(OR(F26="",G26=""),"",IF(F26=G26,"Sesuai","Salah Saji"))</f>
        <v/>
      </c>
      <c r="I26" s="6" t="n"/>
    </row>
    <row r="27">
      <c r="A27" s="11" t="n">
        <v>12</v>
      </c>
      <c r="B27" s="29" t="n"/>
      <c r="C27" s="6" t="n"/>
      <c r="D27" s="6" t="n"/>
      <c r="E27" s="8" t="n"/>
      <c r="F27" s="6" t="n"/>
      <c r="G27" s="6" t="n"/>
      <c r="H27" s="11">
        <f>IF(OR(F27="",G27=""),"",IF(F27=G27,"Sesuai","Salah Saji"))</f>
        <v/>
      </c>
      <c r="I27" s="6" t="n"/>
    </row>
    <row r="28">
      <c r="A28" s="11" t="n">
        <v>13</v>
      </c>
      <c r="B28" s="29" t="n"/>
      <c r="C28" s="6" t="n"/>
      <c r="D28" s="6" t="n"/>
      <c r="E28" s="8" t="n"/>
      <c r="F28" s="6" t="n"/>
      <c r="G28" s="6" t="n"/>
      <c r="H28" s="11">
        <f>IF(OR(F28="",G28=""),"",IF(F28=G28,"Sesuai","Salah Saji"))</f>
        <v/>
      </c>
      <c r="I28" s="6" t="n"/>
    </row>
    <row r="29">
      <c r="A29" s="11" t="n">
        <v>14</v>
      </c>
      <c r="B29" s="29" t="n"/>
      <c r="C29" s="6" t="n"/>
      <c r="D29" s="6" t="n"/>
      <c r="E29" s="8" t="n"/>
      <c r="F29" s="6" t="n"/>
      <c r="G29" s="6" t="n"/>
      <c r="H29" s="11">
        <f>IF(OR(F29="",G29=""),"",IF(F29=G29,"Sesuai","Salah Saji"))</f>
        <v/>
      </c>
      <c r="I29" s="6" t="n"/>
    </row>
    <row r="30">
      <c r="A30" s="11" t="n">
        <v>15</v>
      </c>
      <c r="B30" s="29" t="n"/>
      <c r="C30" s="6" t="n"/>
      <c r="D30" s="6" t="n"/>
      <c r="E30" s="8" t="n"/>
      <c r="F30" s="6" t="n"/>
      <c r="G30" s="6" t="n"/>
      <c r="H30" s="11">
        <f>IF(OR(F30="",G30=""),"",IF(F30=G30,"Sesuai","Salah Saji"))</f>
        <v/>
      </c>
      <c r="I30" s="6" t="n"/>
    </row>
    <row r="31">
      <c r="A31" s="11" t="n">
        <v>16</v>
      </c>
      <c r="B31" s="29" t="n"/>
      <c r="C31" s="6" t="n"/>
      <c r="D31" s="6" t="n"/>
      <c r="E31" s="8" t="n"/>
      <c r="F31" s="6" t="n"/>
      <c r="G31" s="6" t="n"/>
      <c r="H31" s="11">
        <f>IF(OR(F31="",G31=""),"",IF(F31=G31,"Sesuai","Salah Saji"))</f>
        <v/>
      </c>
      <c r="I31" s="6" t="n"/>
    </row>
    <row r="32">
      <c r="A32" s="11" t="n">
        <v>17</v>
      </c>
      <c r="B32" s="29" t="n"/>
      <c r="C32" s="6" t="n"/>
      <c r="D32" s="6" t="n"/>
      <c r="E32" s="8" t="n"/>
      <c r="F32" s="6" t="n"/>
      <c r="G32" s="6" t="n"/>
      <c r="H32" s="11">
        <f>IF(OR(F32="",G32=""),"",IF(F32=G32,"Sesuai","Salah Saji"))</f>
        <v/>
      </c>
      <c r="I32" s="6" t="n"/>
    </row>
    <row r="33">
      <c r="A33" s="11" t="n">
        <v>18</v>
      </c>
      <c r="B33" s="29" t="n"/>
      <c r="C33" s="6" t="n"/>
      <c r="D33" s="6" t="n"/>
      <c r="E33" s="8" t="n"/>
      <c r="F33" s="6" t="n"/>
      <c r="G33" s="6" t="n"/>
      <c r="H33" s="11">
        <f>IF(OR(F33="",G33=""),"",IF(F33=G33,"Sesuai","Salah Saji"))</f>
        <v/>
      </c>
      <c r="I33" s="6" t="n"/>
    </row>
    <row r="34">
      <c r="A34" s="11" t="n">
        <v>19</v>
      </c>
      <c r="B34" s="29" t="n"/>
      <c r="C34" s="6" t="n"/>
      <c r="D34" s="6" t="n"/>
      <c r="E34" s="8" t="n"/>
      <c r="F34" s="6" t="n"/>
      <c r="G34" s="6" t="n"/>
      <c r="H34" s="11">
        <f>IF(OR(F34="",G34=""),"",IF(F34=G34,"Sesuai","Salah Saji"))</f>
        <v/>
      </c>
      <c r="I34" s="6" t="n"/>
    </row>
    <row r="35">
      <c r="A35" s="11" t="n">
        <v>20</v>
      </c>
      <c r="B35" s="29" t="n"/>
      <c r="C35" s="6" t="n"/>
      <c r="D35" s="6" t="n"/>
      <c r="E35" s="8" t="n"/>
      <c r="F35" s="6" t="n"/>
      <c r="G35" s="6" t="n"/>
      <c r="H35" s="11">
        <f>IF(OR(F35="",G35=""),"",IF(F35=G35,"Sesuai","Salah Saji"))</f>
        <v/>
      </c>
      <c r="I35" s="6" t="n"/>
    </row>
    <row r="36">
      <c r="D36" s="9" t="inlineStr">
        <is>
          <t>Jumlah Salah Saji Pisah Batas</t>
        </is>
      </c>
      <c r="E36" s="14">
        <f>SUMIF(H16:H35,"Salah Saji",E16:E35)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I7"/>
    <mergeCell ref="C38:I39"/>
    <mergeCell ref="A12:I12"/>
    <mergeCell ref="E8:I8"/>
    <mergeCell ref="E9:I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G35" showDropDown="0" showInputMessage="0" showErrorMessage="0" allowBlank="1" type="list">
      <formula1>"2025,2026"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N.4 · Pencarian Kewajiban yang Belum Tercatat</t>
        </is>
      </c>
      <c r="F2" s="3" t="inlineStr">
        <is>
          <t>Indeks KK</t>
        </is>
      </c>
      <c r="G2" s="4" t="inlineStr">
        <is>
          <t>N.4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Telusuri pembayaran dan tagihan setelah tanggal neraca untuk liabilitas yang seharusnya dicatat per tanggal neraca.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2" customWidth="1" min="4" max="4"/>
    <col width="12" customWidth="1" min="5" max="5"/>
    <col width="16" customWidth="1" min="6" max="6"/>
    <col width="14" customWidth="1" min="7" max="7"/>
    <col width="30" customWidth="1" min="8" max="8"/>
    <col width="10" customWidth="1" min="9" max="9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N.5 · Analisis Saldo Pemasok</t>
        </is>
      </c>
      <c r="H2" s="3" t="inlineStr">
        <is>
          <t>Indeks KK</t>
        </is>
      </c>
      <c r="I2" s="4" t="inlineStr">
        <is>
          <t>N.5</t>
        </is>
      </c>
    </row>
    <row r="3" ht="26" customHeight="1">
      <c r="C3" s="3" t="inlineStr">
        <is>
          <t>Klien</t>
        </is>
      </c>
      <c r="D3" s="5" t="n"/>
      <c r="H3" s="3" t="inlineStr">
        <is>
          <t>Disusun/Tgl</t>
        </is>
      </c>
      <c r="I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H4" s="3" t="inlineStr">
        <is>
          <t>Direview/Tgl</t>
        </is>
      </c>
      <c r="I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Rekonsiliasi saldo dengan laporan pemasok (statement) atau konfirmasi pemasok utama, termasuk saldo nol.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Pihak Dikonfirmasi</t>
        </is>
      </c>
      <c r="C15" s="10" t="inlineStr">
        <is>
          <t>Saldo per Buku</t>
        </is>
      </c>
      <c r="D15" s="10" t="inlineStr">
        <is>
          <t>Tgl Kirim</t>
        </is>
      </c>
      <c r="E15" s="10" t="inlineStr">
        <is>
          <t>Tgl Terima</t>
        </is>
      </c>
      <c r="F15" s="10" t="inlineStr">
        <is>
          <t>Saldo per Konfirmasi</t>
        </is>
      </c>
      <c r="G15" s="10" t="inlineStr">
        <is>
          <t>Selisih</t>
        </is>
      </c>
      <c r="H15" s="10" t="inlineStr">
        <is>
          <t>Penjelasan / Prosedur Alternatif</t>
        </is>
      </c>
      <c r="I15" s="10" t="inlineStr">
        <is>
          <t>Tickmark</t>
        </is>
      </c>
    </row>
    <row r="16">
      <c r="A16" s="11" t="n">
        <v>1</v>
      </c>
      <c r="B16" s="6" t="n"/>
      <c r="C16" s="8" t="n"/>
      <c r="D16" s="29" t="n"/>
      <c r="E16" s="29" t="n"/>
      <c r="F16" s="8" t="n"/>
      <c r="G16" s="12">
        <f>IF(F16="","",F16-C16)</f>
        <v/>
      </c>
      <c r="H16" s="6" t="n"/>
      <c r="I16" s="6" t="n"/>
    </row>
    <row r="17">
      <c r="A17" s="11" t="n">
        <v>2</v>
      </c>
      <c r="B17" s="6" t="n"/>
      <c r="C17" s="8" t="n"/>
      <c r="D17" s="29" t="n"/>
      <c r="E17" s="29" t="n"/>
      <c r="F17" s="8" t="n"/>
      <c r="G17" s="12">
        <f>IF(F17="","",F17-C17)</f>
        <v/>
      </c>
      <c r="H17" s="6" t="n"/>
      <c r="I17" s="6" t="n"/>
    </row>
    <row r="18">
      <c r="A18" s="11" t="n">
        <v>3</v>
      </c>
      <c r="B18" s="6" t="n"/>
      <c r="C18" s="8" t="n"/>
      <c r="D18" s="29" t="n"/>
      <c r="E18" s="29" t="n"/>
      <c r="F18" s="8" t="n"/>
      <c r="G18" s="12">
        <f>IF(F18="","",F18-C18)</f>
        <v/>
      </c>
      <c r="H18" s="6" t="n"/>
      <c r="I18" s="6" t="n"/>
    </row>
    <row r="19">
      <c r="A19" s="11" t="n">
        <v>4</v>
      </c>
      <c r="B19" s="6" t="n"/>
      <c r="C19" s="8" t="n"/>
      <c r="D19" s="29" t="n"/>
      <c r="E19" s="29" t="n"/>
      <c r="F19" s="8" t="n"/>
      <c r="G19" s="12">
        <f>IF(F19="","",F19-C19)</f>
        <v/>
      </c>
      <c r="H19" s="6" t="n"/>
      <c r="I19" s="6" t="n"/>
    </row>
    <row r="20">
      <c r="A20" s="11" t="n">
        <v>5</v>
      </c>
      <c r="B20" s="6" t="n"/>
      <c r="C20" s="8" t="n"/>
      <c r="D20" s="29" t="n"/>
      <c r="E20" s="29" t="n"/>
      <c r="F20" s="8" t="n"/>
      <c r="G20" s="12">
        <f>IF(F20="","",F20-C20)</f>
        <v/>
      </c>
      <c r="H20" s="6" t="n"/>
      <c r="I20" s="6" t="n"/>
    </row>
    <row r="21">
      <c r="A21" s="11" t="n">
        <v>6</v>
      </c>
      <c r="B21" s="6" t="n"/>
      <c r="C21" s="8" t="n"/>
      <c r="D21" s="29" t="n"/>
      <c r="E21" s="29" t="n"/>
      <c r="F21" s="8" t="n"/>
      <c r="G21" s="12">
        <f>IF(F21="","",F21-C21)</f>
        <v/>
      </c>
      <c r="H21" s="6" t="n"/>
      <c r="I21" s="6" t="n"/>
    </row>
    <row r="22">
      <c r="A22" s="11" t="n">
        <v>7</v>
      </c>
      <c r="B22" s="6" t="n"/>
      <c r="C22" s="8" t="n"/>
      <c r="D22" s="29" t="n"/>
      <c r="E22" s="29" t="n"/>
      <c r="F22" s="8" t="n"/>
      <c r="G22" s="12">
        <f>IF(F22="","",F22-C22)</f>
        <v/>
      </c>
      <c r="H22" s="6" t="n"/>
      <c r="I22" s="6" t="n"/>
    </row>
    <row r="23">
      <c r="A23" s="11" t="n">
        <v>8</v>
      </c>
      <c r="B23" s="6" t="n"/>
      <c r="C23" s="8" t="n"/>
      <c r="D23" s="29" t="n"/>
      <c r="E23" s="29" t="n"/>
      <c r="F23" s="8" t="n"/>
      <c r="G23" s="12">
        <f>IF(F23="","",F23-C23)</f>
        <v/>
      </c>
      <c r="H23" s="6" t="n"/>
      <c r="I23" s="6" t="n"/>
    </row>
    <row r="24">
      <c r="A24" s="11" t="n">
        <v>9</v>
      </c>
      <c r="B24" s="6" t="n"/>
      <c r="C24" s="8" t="n"/>
      <c r="D24" s="29" t="n"/>
      <c r="E24" s="29" t="n"/>
      <c r="F24" s="8" t="n"/>
      <c r="G24" s="12">
        <f>IF(F24="","",F24-C24)</f>
        <v/>
      </c>
      <c r="H24" s="6" t="n"/>
      <c r="I24" s="6" t="n"/>
    </row>
    <row r="25">
      <c r="A25" s="11" t="n">
        <v>10</v>
      </c>
      <c r="B25" s="6" t="n"/>
      <c r="C25" s="8" t="n"/>
      <c r="D25" s="29" t="n"/>
      <c r="E25" s="29" t="n"/>
      <c r="F25" s="8" t="n"/>
      <c r="G25" s="12">
        <f>IF(F25="","",F25-C25)</f>
        <v/>
      </c>
      <c r="H25" s="6" t="n"/>
      <c r="I25" s="6" t="n"/>
    </row>
    <row r="26">
      <c r="A26" s="11" t="n">
        <v>11</v>
      </c>
      <c r="B26" s="6" t="n"/>
      <c r="C26" s="8" t="n"/>
      <c r="D26" s="29" t="n"/>
      <c r="E26" s="29" t="n"/>
      <c r="F26" s="8" t="n"/>
      <c r="G26" s="12">
        <f>IF(F26="","",F26-C26)</f>
        <v/>
      </c>
      <c r="H26" s="6" t="n"/>
      <c r="I26" s="6" t="n"/>
    </row>
    <row r="27">
      <c r="A27" s="11" t="n">
        <v>12</v>
      </c>
      <c r="B27" s="6" t="n"/>
      <c r="C27" s="8" t="n"/>
      <c r="D27" s="29" t="n"/>
      <c r="E27" s="29" t="n"/>
      <c r="F27" s="8" t="n"/>
      <c r="G27" s="12">
        <f>IF(F27="","",F27-C27)</f>
        <v/>
      </c>
      <c r="H27" s="6" t="n"/>
      <c r="I27" s="6" t="n"/>
    </row>
    <row r="28">
      <c r="A28" s="11" t="n">
        <v>13</v>
      </c>
      <c r="B28" s="6" t="n"/>
      <c r="C28" s="8" t="n"/>
      <c r="D28" s="29" t="n"/>
      <c r="E28" s="29" t="n"/>
      <c r="F28" s="8" t="n"/>
      <c r="G28" s="12">
        <f>IF(F28="","",F28-C28)</f>
        <v/>
      </c>
      <c r="H28" s="6" t="n"/>
      <c r="I28" s="6" t="n"/>
    </row>
    <row r="29">
      <c r="A29" s="11" t="n">
        <v>14</v>
      </c>
      <c r="B29" s="6" t="n"/>
      <c r="C29" s="8" t="n"/>
      <c r="D29" s="29" t="n"/>
      <c r="E29" s="29" t="n"/>
      <c r="F29" s="8" t="n"/>
      <c r="G29" s="12">
        <f>IF(F29="","",F29-C29)</f>
        <v/>
      </c>
      <c r="H29" s="6" t="n"/>
      <c r="I29" s="6" t="n"/>
    </row>
    <row r="30">
      <c r="A30" s="11" t="n">
        <v>15</v>
      </c>
      <c r="B30" s="6" t="n"/>
      <c r="C30" s="8" t="n"/>
      <c r="D30" s="29" t="n"/>
      <c r="E30" s="29" t="n"/>
      <c r="F30" s="8" t="n"/>
      <c r="G30" s="12">
        <f>IF(F30="","",F30-C30)</f>
        <v/>
      </c>
      <c r="H30" s="6" t="n"/>
      <c r="I30" s="6" t="n"/>
    </row>
    <row r="31">
      <c r="B31" s="9" t="inlineStr">
        <is>
          <t>Jumlah</t>
        </is>
      </c>
      <c r="C31" s="14">
        <f>SUM(C16:C30)</f>
        <v/>
      </c>
      <c r="F31" s="14">
        <f>SUM(F16:F30)</f>
        <v/>
      </c>
      <c r="G31" s="14">
        <f>SUM(G16:G30)</f>
        <v/>
      </c>
    </row>
    <row r="32">
      <c r="B32" s="11" t="inlineStr">
        <is>
          <t>Konfirmasi Kembali (%)</t>
        </is>
      </c>
      <c r="C32" s="15">
        <f>IF(COUNTA(B16:B30)=0,"",COUNTA(E16:E30)/COUNTA(B16:B30))</f>
        <v/>
      </c>
    </row>
    <row r="34">
      <c r="A34" s="28" t="inlineStr">
        <is>
          <t>Kesimpulan Pengujian</t>
        </is>
      </c>
      <c r="C34" s="24" t="n"/>
    </row>
    <row r="35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I7"/>
    <mergeCell ref="C34:I35"/>
    <mergeCell ref="A12:I12"/>
    <mergeCell ref="E8:I8"/>
    <mergeCell ref="E9:I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I16:I30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N.6 · Penilaian Utang Usaha dalam Mata Uang Asing</t>
        </is>
      </c>
      <c r="F2" s="3" t="inlineStr">
        <is>
          <t>Indeks KK</t>
        </is>
      </c>
      <c r="G2" s="4" t="inlineStr">
        <is>
          <t>N.6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Rekalkulasi penjabaran utang valuta asing dengan kurs per tanggal neraca.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60" customWidth="1" min="4" max="4"/>
    <col width="12" customWidth="1" min="5" max="5"/>
    <col width="1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Keterangan Tickmark dan Kode</t>
        </is>
      </c>
      <c r="E2" s="3" t="inlineStr">
        <is>
          <t>Indeks KK</t>
        </is>
      </c>
      <c r="F2" s="4" t="inlineStr">
        <is>
          <t>Legend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Tickmark</t>
        </is>
      </c>
    </row>
    <row r="7" ht="30" customHeight="1">
      <c r="A7" s="10" t="inlineStr"/>
      <c r="B7" s="10" t="inlineStr"/>
      <c r="C7" s="10" t="inlineStr">
        <is>
          <t>Tanda</t>
        </is>
      </c>
      <c r="D7" s="10" t="inlineStr">
        <is>
          <t>Arti</t>
        </is>
      </c>
      <c r="E7" s="10" t="inlineStr"/>
      <c r="F7" s="10" t="inlineStr"/>
    </row>
    <row r="8">
      <c r="C8" s="9" t="inlineStr">
        <is>
          <t>✓</t>
        </is>
      </c>
      <c r="D8" s="11" t="inlineStr">
        <is>
          <t>Dicocokkan ke dokumen sumber</t>
        </is>
      </c>
    </row>
    <row r="9">
      <c r="C9" s="9" t="inlineStr">
        <is>
          <t>^</t>
        </is>
      </c>
      <c r="D9" s="11" t="inlineStr">
        <is>
          <t>Footing (penjumlahan vertikal) benar</t>
        </is>
      </c>
    </row>
    <row r="10">
      <c r="C10" s="9" t="inlineStr">
        <is>
          <t>&lt;</t>
        </is>
      </c>
      <c r="D10" s="11" t="inlineStr">
        <is>
          <t>Cross-footing (penjumlahan horizontal) benar</t>
        </is>
      </c>
    </row>
    <row r="11">
      <c r="C11" s="9" t="inlineStr">
        <is>
          <t>TB</t>
        </is>
      </c>
      <c r="D11" s="11" t="inlineStr">
        <is>
          <t>Cocok dengan neraca saldo</t>
        </is>
      </c>
    </row>
    <row r="12">
      <c r="C12" s="9" t="inlineStr">
        <is>
          <t>GL</t>
        </is>
      </c>
      <c r="D12" s="11" t="inlineStr">
        <is>
          <t>Cocok dengan buku besar</t>
        </is>
      </c>
    </row>
    <row r="13">
      <c r="C13" s="9" t="inlineStr">
        <is>
          <t>C</t>
        </is>
      </c>
      <c r="D13" s="11" t="inlineStr">
        <is>
          <t>Konfirmasi diterima dan sesuai</t>
        </is>
      </c>
    </row>
    <row r="14">
      <c r="C14" s="9" t="inlineStr">
        <is>
          <t>C/X</t>
        </is>
      </c>
      <c r="D14" s="11" t="inlineStr">
        <is>
          <t>Konfirmasi diterima, ada selisih (lihat keterangan)</t>
        </is>
      </c>
    </row>
    <row r="15">
      <c r="C15" s="9" t="inlineStr">
        <is>
          <t>PY</t>
        </is>
      </c>
      <c r="D15" s="11" t="inlineStr">
        <is>
          <t>Cocok dengan kertas kerja tahun lalu</t>
        </is>
      </c>
    </row>
    <row r="16">
      <c r="C16" s="9" t="inlineStr">
        <is>
          <t>R</t>
        </is>
      </c>
      <c r="D16" s="11" t="inlineStr">
        <is>
          <t>Dihitung ulang (rekalkulasi) dan sesuai</t>
        </is>
      </c>
    </row>
    <row r="17">
      <c r="C17" s="9" t="inlineStr">
        <is>
          <t>O</t>
        </is>
      </c>
      <c r="D17" s="11" t="inlineStr">
        <is>
          <t>Diobservasi / dihitung fisik</t>
        </is>
      </c>
    </row>
    <row r="19">
      <c r="A19" s="7" t="inlineStr">
        <is>
          <t>Kode Jawaban Asersi</t>
        </is>
      </c>
    </row>
    <row r="20" ht="30" customHeight="1">
      <c r="A20" s="10" t="inlineStr"/>
      <c r="B20" s="10" t="inlineStr"/>
      <c r="C20" s="10" t="inlineStr">
        <is>
          <t>Kode</t>
        </is>
      </c>
      <c r="D20" s="10" t="inlineStr">
        <is>
          <t>Arti</t>
        </is>
      </c>
      <c r="E20" s="10" t="inlineStr"/>
      <c r="F20" s="10" t="inlineStr"/>
    </row>
    <row r="21">
      <c r="C21" s="9" t="inlineStr">
        <is>
          <t>T</t>
        </is>
      </c>
      <c r="D21" s="11" t="inlineStr">
        <is>
          <t>Terpenuhi</t>
        </is>
      </c>
    </row>
    <row r="22">
      <c r="C22" s="9" t="inlineStr">
        <is>
          <t>T-K</t>
        </is>
      </c>
      <c r="D22" s="11" t="inlineStr">
        <is>
          <t>Terpenuhi setelah koreksi (AJE)</t>
        </is>
      </c>
    </row>
    <row r="23">
      <c r="C23" s="9" t="inlineStr">
        <is>
          <t>TT</t>
        </is>
      </c>
      <c r="D23" s="11" t="inlineStr">
        <is>
          <t>Tidak terpenuhi, ada pengecualian yang belum selesai</t>
        </is>
      </c>
    </row>
    <row r="24">
      <c r="C24" s="9" t="inlineStr">
        <is>
          <t>BD</t>
        </is>
      </c>
      <c r="D24" s="11" t="inlineStr">
        <is>
          <t>Belum diuji</t>
        </is>
      </c>
    </row>
    <row r="25">
      <c r="C25" s="9" t="inlineStr">
        <is>
          <t>n/a</t>
        </is>
      </c>
      <c r="D25" s="11" t="inlineStr">
        <is>
          <t>Tidak relevan</t>
        </is>
      </c>
    </row>
    <row r="27">
      <c r="A27" s="7" t="inlineStr">
        <is>
          <t>Rencana Uji</t>
        </is>
      </c>
    </row>
    <row r="28" ht="30" customHeight="1">
      <c r="A28" s="10" t="inlineStr"/>
      <c r="B28" s="10" t="inlineStr"/>
      <c r="C28" s="10" t="inlineStr">
        <is>
          <t>Kode</t>
        </is>
      </c>
      <c r="D28" s="10" t="inlineStr">
        <is>
          <t>Arti</t>
        </is>
      </c>
      <c r="E28" s="10" t="inlineStr"/>
      <c r="F28" s="10" t="inlineStr"/>
    </row>
    <row r="29">
      <c r="C29" s="9" t="inlineStr">
        <is>
          <t>√</t>
        </is>
      </c>
      <c r="D29" s="11" t="inlineStr">
        <is>
          <t>Uji rinci (test of details)</t>
        </is>
      </c>
    </row>
    <row r="30">
      <c r="C30" s="9" t="inlineStr">
        <is>
          <t>A</t>
        </is>
      </c>
      <c r="D30" s="11" t="inlineStr">
        <is>
          <t>Prosedur analitis substantif</t>
        </is>
      </c>
    </row>
    <row r="31">
      <c r="C31" s="9" t="inlineStr">
        <is>
          <t>-</t>
        </is>
      </c>
      <c r="D31" s="11" t="inlineStr">
        <is>
          <t>Tidak diuji (risiko rendah atau tidak relevan)</t>
        </is>
      </c>
    </row>
    <row r="33">
      <c r="A33" s="25" t="inlineStr">
        <is>
          <t>Sel berwarna kuning muda diisi auditor. Sel lain berisi rumus dan terkunci.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2026-10-18T07:48:45Z</dcterms:created>
  <dcterms:modified xmlns:dcterms="http://purl.org/dc/terms/" xmlns:xsi="http://www.w3.org/2001/XMLSchema-instance" xsi:type="dcterms:W3CDTF">2026-10-18T07:48:45Z</dcterms:modified>
</cp:coreProperties>
</file>