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 Lead" sheetId="1" state="visible" r:id="rId1"/>
    <sheet xmlns:r="http://schemas.openxmlformats.org/officeDocument/2006/relationships" name="J Program" sheetId="2" state="visible" r:id="rId2"/>
    <sheet xmlns:r="http://schemas.openxmlformats.org/officeDocument/2006/relationships" name="J.1 Verifikasi Keberadaan dan" sheetId="3" state="visible" r:id="rId3"/>
    <sheet xmlns:r="http://schemas.openxmlformats.org/officeDocument/2006/relationships" name="J.2 Penilaian Aset Keuangan" sheetId="4" state="visible" r:id="rId4"/>
    <sheet xmlns:r="http://schemas.openxmlformats.org/officeDocument/2006/relationships" name="J.3 Penilaian Ulang AYDA" sheetId="5" state="visible" r:id="rId5"/>
    <sheet xmlns:r="http://schemas.openxmlformats.org/officeDocument/2006/relationships" name="Keterang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166" fontId="5" fillId="2" borderId="1" applyProtection="1" pivotButton="0" quotePrefix="0" xfId="0">
      <protection locked="0" hidden="0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J · Agunan yang Diambil Alih</t>
        </is>
      </c>
      <c r="I2" s="3" t="inlineStr">
        <is>
          <t>Indeks KK</t>
        </is>
      </c>
      <c r="J2" s="4" t="inlineStr">
        <is>
          <t>J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J-1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J-2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J-3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J-4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J-5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J-6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J-7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J-8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J.1</t>
        </is>
      </c>
      <c r="D21" s="19" t="n"/>
      <c r="E21" s="20">
        <f>COUNTIF('J Program'!$D$8:$D$10,"X")</f>
        <v/>
      </c>
      <c r="F21" s="20">
        <f>COUNTIFS('J Program'!$D$8:$D$10,"X",'J Program'!$I$8:$I$10,"Selesai")</f>
        <v/>
      </c>
      <c r="G21" s="20">
        <f>COUNTIFS('J Program'!$D$8:$D$10,"X",'J Program'!$J$8:$J$10,"Pengecualian")</f>
        <v/>
      </c>
      <c r="H21" s="16">
        <f>IF(E21=0,"n/a",IF(G21&gt;0,"TT",IF(F21+COUNTIFS('J Program'!$D$8:$D$10,"X",'J Program'!$I$8:$I$10,"Tidak Relevan")&lt;E21,"BD",IF(F21=0,"n/a",IF(COUNTIFS('J Program'!$D$8:$D$10,"X",'J Program'!$J$8:$J$10,"Koreksi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J.1, J.2, J.3</t>
        </is>
      </c>
      <c r="D22" s="19" t="n"/>
      <c r="E22" s="20">
        <f>COUNTIF('J Program'!$E$8:$E$10,"X")</f>
        <v/>
      </c>
      <c r="F22" s="20">
        <f>COUNTIFS('J Program'!$E$8:$E$10,"X",'J Program'!$I$8:$I$10,"Selesai")</f>
        <v/>
      </c>
      <c r="G22" s="20">
        <f>COUNTIFS('J Program'!$E$8:$E$10,"X",'J Program'!$J$8:$J$10,"Pengecualian")</f>
        <v/>
      </c>
      <c r="H22" s="16">
        <f>IF(E22=0,"n/a",IF(G22&gt;0,"TT",IF(F22+COUNTIFS('J Program'!$E$8:$E$10,"X",'J Program'!$I$8:$I$10,"Tidak Relevan")&lt;E22,"BD",IF(F22=0,"n/a",IF(COUNTIFS('J Program'!$E$8:$E$10,"X",'J Program'!$J$8:$J$10,"Koreksi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J.1</t>
        </is>
      </c>
      <c r="D23" s="19" t="n"/>
      <c r="E23" s="20">
        <f>COUNTIF('J Program'!$F$8:$F$10,"X")</f>
        <v/>
      </c>
      <c r="F23" s="20">
        <f>COUNTIFS('J Program'!$F$8:$F$10,"X",'J Program'!$I$8:$I$10,"Selesai")</f>
        <v/>
      </c>
      <c r="G23" s="20">
        <f>COUNTIFS('J Program'!$F$8:$F$10,"X",'J Program'!$J$8:$J$10,"Pengecualian")</f>
        <v/>
      </c>
      <c r="H23" s="16">
        <f>IF(E23=0,"n/a",IF(G23&gt;0,"TT",IF(F23+COUNTIFS('J Program'!$F$8:$F$10,"X",'J Program'!$I$8:$I$10,"Tidak Relevan")&lt;E23,"BD",IF(F23=0,"n/a",IF(COUNTIFS('J Program'!$F$8:$F$10,"X",'J Program'!$J$8:$J$10,"Koreksi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J.1</t>
        </is>
      </c>
      <c r="D24" s="19" t="n"/>
      <c r="E24" s="20">
        <f>COUNTIF('J Program'!$G$8:$G$10,"X")</f>
        <v/>
      </c>
      <c r="F24" s="20">
        <f>COUNTIFS('J Program'!$G$8:$G$10,"X",'J Program'!$I$8:$I$10,"Selesai")</f>
        <v/>
      </c>
      <c r="G24" s="20">
        <f>COUNTIFS('J Program'!$G$8:$G$10,"X",'J Program'!$J$8:$J$10,"Pengecualian")</f>
        <v/>
      </c>
      <c r="H24" s="16">
        <f>IF(E24=0,"n/a",IF(G24&gt;0,"TT",IF(F24+COUNTIFS('J Program'!$G$8:$G$10,"X",'J Program'!$I$8:$I$10,"Tidak Relevan")&lt;E24,"BD",IF(F24=0,"n/a",IF(COUNTIFS('J Program'!$G$8:$G$10,"X",'J Program'!$J$8:$J$10,"Koreksi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J.1, J.3</t>
        </is>
      </c>
      <c r="D25" s="19" t="n"/>
      <c r="E25" s="20">
        <f>COUNTIF('J Program'!$H$8:$H$10,"X")</f>
        <v/>
      </c>
      <c r="F25" s="20">
        <f>COUNTIFS('J Program'!$H$8:$H$10,"X",'J Program'!$I$8:$I$10,"Selesai")</f>
        <v/>
      </c>
      <c r="G25" s="20">
        <f>COUNTIFS('J Program'!$H$8:$H$10,"X",'J Program'!$J$8:$J$10,"Pengecualian")</f>
        <v/>
      </c>
      <c r="H25" s="16">
        <f>IF(E25=0,"n/a",IF(G25&gt;0,"TT",IF(F25+COUNTIFS('J Program'!$H$8:$H$10,"X",'J Program'!$I$8:$I$10,"Tidak Relevan")&lt;E25,"BD",IF(F25=0,"n/a",IF(COUNTIFS('J Program'!$H$8:$H$10,"X",'J Program'!$J$8:$J$10,"Koreksi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agunan yang Diambil Alih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J · Agunan yang Diambil Alih</t>
        </is>
      </c>
      <c r="K2" s="3" t="inlineStr">
        <is>
          <t>Indeks KK</t>
        </is>
      </c>
      <c r="L2" s="4" t="inlineStr">
        <is>
          <t>J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J.1</t>
        </is>
      </c>
      <c r="B8" s="18" t="inlineStr">
        <is>
          <t>Verifikasi Keberadaan dan Kepemilikan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X</t>
        </is>
      </c>
      <c r="H8" s="20" t="inlineStr">
        <is>
          <t>X</t>
        </is>
      </c>
      <c r="I8" s="26">
        <f>IF('J.1 Verifikasi Keberadaan dan'!$C$7="","Belum",'J.1 Verifikasi Keberadaan dan'!$C$7)</f>
        <v/>
      </c>
      <c r="J8" s="17">
        <f>IF('J.1 Verifikasi Keberadaan dan'!$C$8="","",'J.1 Verifikasi Keberadaan dan'!$C$8)</f>
        <v/>
      </c>
      <c r="K8" s="17">
        <f>IF('J.1 Verifikasi Keberadaan dan'!$C$9="","",'J.1 Verifikasi Keberadaan dan'!$C$9)</f>
        <v/>
      </c>
      <c r="L8" s="18" t="inlineStr">
        <is>
          <t>J.1 Verifikasi Keberadaan dan</t>
        </is>
      </c>
    </row>
    <row r="9" ht="28" customHeight="1">
      <c r="A9" s="26" t="inlineStr">
        <is>
          <t>J.2</t>
        </is>
      </c>
      <c r="B9" s="18" t="inlineStr">
        <is>
          <t>Penilaian Aset Keuangan Jangka Panjang</t>
        </is>
      </c>
      <c r="C9" s="17" t="inlineStr">
        <is>
          <t>PSP</t>
        </is>
      </c>
      <c r="D9" s="20" t="n"/>
      <c r="E9" s="20" t="inlineStr">
        <is>
          <t>X</t>
        </is>
      </c>
      <c r="F9" s="20" t="n"/>
      <c r="G9" s="20" t="n"/>
      <c r="H9" s="20" t="n"/>
      <c r="I9" s="26">
        <f>IF('J.2 Penilaian Aset Keuangan'!$C$7="","Belum",'J.2 Penilaian Aset Keuangan'!$C$7)</f>
        <v/>
      </c>
      <c r="J9" s="17">
        <f>IF('J.2 Penilaian Aset Keuangan'!$C$8="","",'J.2 Penilaian Aset Keuangan'!$C$8)</f>
        <v/>
      </c>
      <c r="K9" s="17">
        <f>IF('J.2 Penilaian Aset Keuangan'!$C$9="","",'J.2 Penilaian Aset Keuangan'!$C$9)</f>
        <v/>
      </c>
      <c r="L9" s="18" t="inlineStr">
        <is>
          <t>J.2 Penilaian Aset Keuangan</t>
        </is>
      </c>
    </row>
    <row r="10" ht="28" customHeight="1">
      <c r="A10" s="26" t="inlineStr">
        <is>
          <t>J.3</t>
        </is>
      </c>
      <c r="B10" s="18" t="inlineStr">
        <is>
          <t>Penilaian Ulang AYDA</t>
        </is>
      </c>
      <c r="C10" s="17" t="inlineStr">
        <is>
          <t>Tambahan</t>
        </is>
      </c>
      <c r="D10" s="20" t="n"/>
      <c r="E10" s="20" t="inlineStr">
        <is>
          <t>X</t>
        </is>
      </c>
      <c r="F10" s="20" t="n"/>
      <c r="G10" s="20" t="n"/>
      <c r="H10" s="20" t="inlineStr">
        <is>
          <t>X</t>
        </is>
      </c>
      <c r="I10" s="26">
        <f>IF('J.3 Penilaian Ulang AYDA'!$C$7="","Belum",'J.3 Penilaian Ulang AYDA'!$C$7)</f>
        <v/>
      </c>
      <c r="J10" s="17">
        <f>IF('J.3 Penilaian Ulang AYDA'!$C$8="","",'J.3 Penilaian Ulang AYDA'!$C$8)</f>
        <v/>
      </c>
      <c r="K10" s="17">
        <f>IF('J.3 Penilaian Ulang AYDA'!$C$9="","",'J.3 Penilaian Ulang AYDA'!$C$9)</f>
        <v/>
      </c>
      <c r="L10" s="18" t="inlineStr">
        <is>
          <t>J.3 Penilaian Ulang AYDA</t>
        </is>
      </c>
    </row>
    <row r="12">
      <c r="A12" s="25" t="inlineStr">
        <is>
          <t>Status dan hasil diisi di sheet KK anak masing-masing prosedur (sel kuning bagian A). Program ini dan jawaban asersi di Lead terisi otomatis.</t>
        </is>
      </c>
    </row>
    <row r="13">
      <c r="A13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J.1 · Verifikasi Keberadaan dan Kepemilikan</t>
        </is>
      </c>
      <c r="H2" s="3" t="inlineStr">
        <is>
          <t>Indeks KK</t>
        </is>
      </c>
      <c r="I2" s="4" t="inlineStr">
        <is>
          <t>J.1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Konfirmasi atau inspeksi dokumen pendukung saldo (perjanjian, bilyet, sertifikat).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8" t="n"/>
      <c r="E16" s="28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8" t="n"/>
      <c r="E17" s="28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8" t="n"/>
      <c r="E18" s="28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8" t="n"/>
      <c r="E19" s="28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8" t="n"/>
      <c r="E20" s="28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8" t="n"/>
      <c r="E21" s="28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8" t="n"/>
      <c r="E22" s="28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8" t="n"/>
      <c r="E23" s="28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8" t="n"/>
      <c r="E24" s="28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8" t="n"/>
      <c r="E25" s="28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8" t="n"/>
      <c r="E26" s="28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8" t="n"/>
      <c r="E27" s="28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8" t="n"/>
      <c r="E28" s="28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8" t="n"/>
      <c r="E29" s="28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8" t="n"/>
      <c r="E30" s="28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9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J.2 · Penilaian Aset Keuangan Jangka Panjang</t>
        </is>
      </c>
      <c r="F2" s="3" t="inlineStr">
        <is>
          <t>Indeks KK</t>
        </is>
      </c>
      <c r="G2" s="4" t="inlineStr">
        <is>
          <t>J.2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pengukuran (biaya diamortisasi/nilai wajar) dan indikasi penurunan nilai.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J.3 · Penilaian Ulang AYDA</t>
        </is>
      </c>
      <c r="F2" s="3" t="inlineStr">
        <is>
          <t>Indeks KK</t>
        </is>
      </c>
      <c r="G2" s="4" t="inlineStr">
        <is>
          <t>J.3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nilai realisasi neto agunan yang diambil alih dan batas waktu penyelesaian.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2026-10-18T07:48:44Z</dcterms:created>
  <dcterms:modified xmlns:dcterms="http://purl.org/dc/terms/" xmlns:xsi="http://www.w3.org/2001/XMLSchema-instance" xsi:type="dcterms:W3CDTF">2026-10-18T07:48:44Z</dcterms:modified>
</cp:coreProperties>
</file>