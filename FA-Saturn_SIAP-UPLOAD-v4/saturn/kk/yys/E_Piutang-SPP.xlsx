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Lead" sheetId="1" state="visible" r:id="rId1"/>
    <sheet xmlns:r="http://schemas.openxmlformats.org/officeDocument/2006/relationships" name="E Program" sheetId="2" state="visible" r:id="rId2"/>
    <sheet xmlns:r="http://schemas.openxmlformats.org/officeDocument/2006/relationships" name="E.1 Kesesuaian Buku Besar &amp;" sheetId="3" state="visible" r:id="rId3"/>
    <sheet xmlns:r="http://schemas.openxmlformats.org/officeDocument/2006/relationships" name="E.2 Penerimaan Kas Berikutnya" sheetId="4" state="visible" r:id="rId4"/>
    <sheet xmlns:r="http://schemas.openxmlformats.org/officeDocument/2006/relationships" name="E.3 Prosedur Roll-Forward" sheetId="5" state="visible" r:id="rId5"/>
    <sheet xmlns:r="http://schemas.openxmlformats.org/officeDocument/2006/relationships" name="E.4 Pisah Batas Piutang Usaha" sheetId="6" state="visible" r:id="rId6"/>
    <sheet xmlns:r="http://schemas.openxmlformats.org/officeDocument/2006/relationships" name="E.5 Cadangan Penurunan Nilai" sheetId="7" state="visible" r:id="rId7"/>
    <sheet xmlns:r="http://schemas.openxmlformats.org/officeDocument/2006/relationships" name="E.6 Penyesuaian Lain" sheetId="8" state="visible" r:id="rId8"/>
    <sheet xmlns:r="http://schemas.openxmlformats.org/officeDocument/2006/relationships" name="E.7 Piutang Mata Uang Asing" sheetId="9" state="visible" r:id="rId9"/>
    <sheet xmlns:r="http://schemas.openxmlformats.org/officeDocument/2006/relationships" name="E.8 Credit &amp; Unusual Balance" sheetId="10" state="visible" r:id="rId10"/>
    <sheet xmlns:r="http://schemas.openxmlformats.org/officeDocument/2006/relationships" name="E.9 Konfirmasi Piutang (SA 505)" sheetId="11" state="visible" r:id="rId11"/>
    <sheet xmlns:r="http://schemas.openxmlformats.org/officeDocument/2006/relationships" name="Keterang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E · Piutang SPP</t>
        </is>
      </c>
      <c r="I2" s="3" t="inlineStr">
        <is>
          <t>Indeks KK</t>
        </is>
      </c>
      <c r="J2" s="4" t="inlineStr">
        <is>
          <t>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E.1, E.2, E.3, E.4, E.8, E.9</t>
        </is>
      </c>
      <c r="D21" s="19" t="n"/>
      <c r="E21" s="20">
        <f>COUNTIF('E Program'!$D$8:$D$16,"X")</f>
        <v/>
      </c>
      <c r="F21" s="20">
        <f>COUNTIFS('E Program'!$D$8:$D$16,"X",'E Program'!$I$8:$I$16,"Selesai")</f>
        <v/>
      </c>
      <c r="G21" s="20">
        <f>COUNTIFS('E Program'!$D$8:$D$16,"X",'E Program'!$J$8:$J$16,"Pengecualian")</f>
        <v/>
      </c>
      <c r="H21" s="16">
        <f>IF(E21=0,"n/a",IF(G21&gt;0,"TT",IF(F21+COUNTIFS('E Program'!$D$8:$D$16,"X",'E Program'!$I$8:$I$16,"Tidak Relevan")&lt;E21,"BD",IF(F21=0,"n/a",IF(COUNTIFS('E Program'!$D$8:$D$16,"X",'E Program'!$J$8:$J$16,"Koreksi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E.2, E.3, E.5, E.6, E.7</t>
        </is>
      </c>
      <c r="D22" s="19" t="n"/>
      <c r="E22" s="20">
        <f>COUNTIF('E Program'!$E$8:$E$16,"X")</f>
        <v/>
      </c>
      <c r="F22" s="20">
        <f>COUNTIFS('E Program'!$E$8:$E$16,"X",'E Program'!$I$8:$I$16,"Selesai")</f>
        <v/>
      </c>
      <c r="G22" s="20">
        <f>COUNTIFS('E Program'!$E$8:$E$16,"X",'E Program'!$J$8:$J$16,"Pengecualian")</f>
        <v/>
      </c>
      <c r="H22" s="16">
        <f>IF(E22=0,"n/a",IF(G22&gt;0,"TT",IF(F22+COUNTIFS('E Program'!$E$8:$E$16,"X",'E Program'!$I$8:$I$16,"Tidak Relevan")&lt;E22,"BD",IF(F22=0,"n/a",IF(COUNTIFS('E Program'!$E$8:$E$16,"X",'E Program'!$J$8:$J$16,"Koreksi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E.1, E.3, E.4, E.8</t>
        </is>
      </c>
      <c r="D23" s="19" t="n"/>
      <c r="E23" s="20">
        <f>COUNTIF('E Program'!$F$8:$F$16,"X")</f>
        <v/>
      </c>
      <c r="F23" s="20">
        <f>COUNTIFS('E Program'!$F$8:$F$16,"X",'E Program'!$I$8:$I$16,"Selesai")</f>
        <v/>
      </c>
      <c r="G23" s="20">
        <f>COUNTIFS('E Program'!$F$8:$F$16,"X",'E Program'!$J$8:$J$16,"Pengecualian")</f>
        <v/>
      </c>
      <c r="H23" s="16">
        <f>IF(E23=0,"n/a",IF(G23&gt;0,"TT",IF(F23+COUNTIFS('E Program'!$F$8:$F$16,"X",'E Program'!$I$8:$I$16,"Tidak Relevan")&lt;E23,"BD",IF(F23=0,"n/a",IF(COUNTIFS('E Program'!$F$8:$F$16,"X",'E Program'!$J$8:$J$16,"Koreksi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E.2, E.9</t>
        </is>
      </c>
      <c r="D24" s="19" t="n"/>
      <c r="E24" s="20">
        <f>COUNTIF('E Program'!$G$8:$G$16,"X")</f>
        <v/>
      </c>
      <c r="F24" s="20">
        <f>COUNTIFS('E Program'!$G$8:$G$16,"X",'E Program'!$I$8:$I$16,"Selesai")</f>
        <v/>
      </c>
      <c r="G24" s="20">
        <f>COUNTIFS('E Program'!$G$8:$G$16,"X",'E Program'!$J$8:$J$16,"Pengecualian")</f>
        <v/>
      </c>
      <c r="H24" s="16">
        <f>IF(E24=0,"n/a",IF(G24&gt;0,"TT",IF(F24+COUNTIFS('E Program'!$G$8:$G$16,"X",'E Program'!$I$8:$I$16,"Tidak Relevan")&lt;E24,"BD",IF(F24=0,"n/a",IF(COUNTIFS('E Program'!$G$8:$G$16,"X",'E Program'!$J$8:$J$16,"Koreksi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E.2, E.5, E.6, E.7</t>
        </is>
      </c>
      <c r="D25" s="19" t="n"/>
      <c r="E25" s="20">
        <f>COUNTIF('E Program'!$H$8:$H$16,"X")</f>
        <v/>
      </c>
      <c r="F25" s="20">
        <f>COUNTIFS('E Program'!$H$8:$H$16,"X",'E Program'!$I$8:$I$16,"Selesai")</f>
        <v/>
      </c>
      <c r="G25" s="20">
        <f>COUNTIFS('E Program'!$H$8:$H$16,"X",'E Program'!$J$8:$J$16,"Pengecualian")</f>
        <v/>
      </c>
      <c r="H25" s="16">
        <f>IF(E25=0,"n/a",IF(G25&gt;0,"TT",IF(F25+COUNTIFS('E Program'!$H$8:$H$16,"X",'E Program'!$I$8:$I$16,"Tidak Relevan")&lt;E25,"BD",IF(F25=0,"n/a",IF(COUNTIFS('E Program'!$H$8:$H$16,"X",'E Program'!$J$8:$J$16,"Koreksi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piutang SPP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E · Piutang SPP</t>
        </is>
      </c>
      <c r="K2" s="3" t="inlineStr">
        <is>
          <t>Indeks KK</t>
        </is>
      </c>
      <c r="L2" s="4" t="inlineStr">
        <is>
          <t>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E.1</t>
        </is>
      </c>
      <c r="B8" s="18" t="inlineStr">
        <is>
          <t>Kesesuaian Buku Besar &amp; Detil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IF('E.1 Kesesuaian Buku Besar &amp;'!$C$7="","Belum",'E.1 Kesesuaian Buku Besar &amp;'!$C$7)</f>
        <v/>
      </c>
      <c r="J8" s="17">
        <f>IF('E.1 Kesesuaian Buku Besar &amp;'!$C$8="","",'E.1 Kesesuaian Buku Besar &amp;'!$C$8)</f>
        <v/>
      </c>
      <c r="K8" s="17">
        <f>IF('E.1 Kesesuaian Buku Besar &amp;'!$C$9="","",'E.1 Kesesuaian Buku Besar &amp;'!$C$9)</f>
        <v/>
      </c>
      <c r="L8" s="18" t="inlineStr">
        <is>
          <t>E.1 Kesesuaian Buku Besar &amp;</t>
        </is>
      </c>
    </row>
    <row r="9" ht="28" customHeight="1">
      <c r="A9" s="26" t="inlineStr">
        <is>
          <t>E.2</t>
        </is>
      </c>
      <c r="B9" s="18" t="inlineStr">
        <is>
          <t>Penerimaan Kas Berikutnya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inlineStr">
        <is>
          <t>X</t>
        </is>
      </c>
      <c r="H9" s="20" t="inlineStr">
        <is>
          <t>X</t>
        </is>
      </c>
      <c r="I9" s="26">
        <f>IF('E.2 Penerimaan Kas Berikutnya'!$C$7="","Belum",'E.2 Penerimaan Kas Berikutnya'!$C$7)</f>
        <v/>
      </c>
      <c r="J9" s="17">
        <f>IF('E.2 Penerimaan Kas Berikutnya'!$C$8="","",'E.2 Penerimaan Kas Berikutnya'!$C$8)</f>
        <v/>
      </c>
      <c r="K9" s="17">
        <f>IF('E.2 Penerimaan Kas Berikutnya'!$C$9="","",'E.2 Penerimaan Kas Berikutnya'!$C$9)</f>
        <v/>
      </c>
      <c r="L9" s="18" t="inlineStr">
        <is>
          <t>E.2 Penerimaan Kas Berikutnya</t>
        </is>
      </c>
    </row>
    <row r="10" ht="28" customHeight="1">
      <c r="A10" s="26" t="inlineStr">
        <is>
          <t>E.3</t>
        </is>
      </c>
      <c r="B10" s="18" t="inlineStr">
        <is>
          <t>Prosedur Roll-Forward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IF('E.3 Prosedur Roll-Forward'!$C$7="","Belum",'E.3 Prosedur Roll-Forward'!$C$7)</f>
        <v/>
      </c>
      <c r="J10" s="17">
        <f>IF('E.3 Prosedur Roll-Forward'!$C$8="","",'E.3 Prosedur Roll-Forward'!$C$8)</f>
        <v/>
      </c>
      <c r="K10" s="17">
        <f>IF('E.3 Prosedur Roll-Forward'!$C$9="","",'E.3 Prosedur Roll-Forward'!$C$9)</f>
        <v/>
      </c>
      <c r="L10" s="18" t="inlineStr">
        <is>
          <t>E.3 Prosedur Roll-Forward</t>
        </is>
      </c>
    </row>
    <row r="11" ht="28" customHeight="1">
      <c r="A11" s="26" t="inlineStr">
        <is>
          <t>E.4</t>
        </is>
      </c>
      <c r="B11" s="18" t="inlineStr">
        <is>
          <t>Pisah Batas Piutang Usaha</t>
        </is>
      </c>
      <c r="C11" s="17" t="inlineStr">
        <is>
          <t>PSP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n"/>
      <c r="H11" s="20" t="n"/>
      <c r="I11" s="26">
        <f>IF('E.4 Pisah Batas Piutang Usaha'!$C$7="","Belum",'E.4 Pisah Batas Piutang Usaha'!$C$7)</f>
        <v/>
      </c>
      <c r="J11" s="17">
        <f>IF('E.4 Pisah Batas Piutang Usaha'!$C$8="","",'E.4 Pisah Batas Piutang Usaha'!$C$8)</f>
        <v/>
      </c>
      <c r="K11" s="17">
        <f>IF('E.4 Pisah Batas Piutang Usaha'!$C$9="","",'E.4 Pisah Batas Piutang Usaha'!$C$9)</f>
        <v/>
      </c>
      <c r="L11" s="18" t="inlineStr">
        <is>
          <t>E.4 Pisah Batas Piutang Usaha</t>
        </is>
      </c>
    </row>
    <row r="12" ht="28" customHeight="1">
      <c r="A12" s="26" t="inlineStr">
        <is>
          <t>E.5</t>
        </is>
      </c>
      <c r="B12" s="18" t="inlineStr">
        <is>
          <t>Cadangan Penurunan Nilai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inlineStr">
        <is>
          <t>X</t>
        </is>
      </c>
      <c r="I12" s="26">
        <f>IF('E.5 Cadangan Penurunan Nilai'!$C$7="","Belum",'E.5 Cadangan Penurunan Nilai'!$C$7)</f>
        <v/>
      </c>
      <c r="J12" s="17">
        <f>IF('E.5 Cadangan Penurunan Nilai'!$C$8="","",'E.5 Cadangan Penurunan Nilai'!$C$8)</f>
        <v/>
      </c>
      <c r="K12" s="17">
        <f>IF('E.5 Cadangan Penurunan Nilai'!$C$9="","",'E.5 Cadangan Penurunan Nilai'!$C$9)</f>
        <v/>
      </c>
      <c r="L12" s="18" t="inlineStr">
        <is>
          <t>E.5 Cadangan Penurunan Nilai</t>
        </is>
      </c>
    </row>
    <row r="13" ht="28" customHeight="1">
      <c r="A13" s="26" t="inlineStr">
        <is>
          <t>E.6</t>
        </is>
      </c>
      <c r="B13" s="18" t="inlineStr">
        <is>
          <t>Penyesuaian Lain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IF('E.6 Penyesuaian Lain'!$C$7="","Belum",'E.6 Penyesuaian Lain'!$C$7)</f>
        <v/>
      </c>
      <c r="J13" s="17">
        <f>IF('E.6 Penyesuaian Lain'!$C$8="","",'E.6 Penyesuaian Lain'!$C$8)</f>
        <v/>
      </c>
      <c r="K13" s="17">
        <f>IF('E.6 Penyesuaian Lain'!$C$9="","",'E.6 Penyesuaian Lain'!$C$9)</f>
        <v/>
      </c>
      <c r="L13" s="18" t="inlineStr">
        <is>
          <t>E.6 Penyesuaian Lain</t>
        </is>
      </c>
    </row>
    <row r="14" ht="28" customHeight="1">
      <c r="A14" s="26" t="inlineStr">
        <is>
          <t>E.7</t>
        </is>
      </c>
      <c r="B14" s="18" t="inlineStr">
        <is>
          <t>Piutang Mata Uang Asing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inlineStr">
        <is>
          <t>X</t>
        </is>
      </c>
      <c r="I14" s="26">
        <f>IF('E.7 Piutang Mata Uang Asing'!$C$7="","Belum",'E.7 Piutang Mata Uang Asing'!$C$7)</f>
        <v/>
      </c>
      <c r="J14" s="17">
        <f>IF('E.7 Piutang Mata Uang Asing'!$C$8="","",'E.7 Piutang Mata Uang Asing'!$C$8)</f>
        <v/>
      </c>
      <c r="K14" s="17">
        <f>IF('E.7 Piutang Mata Uang Asing'!$C$9="","",'E.7 Piutang Mata Uang Asing'!$C$9)</f>
        <v/>
      </c>
      <c r="L14" s="18" t="inlineStr">
        <is>
          <t>E.7 Piutang Mata Uang Asing</t>
        </is>
      </c>
    </row>
    <row r="15" ht="28" customHeight="1">
      <c r="A15" s="26" t="inlineStr">
        <is>
          <t>E.8</t>
        </is>
      </c>
      <c r="B15" s="18" t="inlineStr">
        <is>
          <t>Credit &amp; Unusual Balance</t>
        </is>
      </c>
      <c r="C15" s="17" t="inlineStr">
        <is>
          <t>PSP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IF('E.8 Credit &amp; Unusual Balance'!$C$7="","Belum",'E.8 Credit &amp; Unusual Balance'!$C$7)</f>
        <v/>
      </c>
      <c r="J15" s="17">
        <f>IF('E.8 Credit &amp; Unusual Balance'!$C$8="","",'E.8 Credit &amp; Unusual Balance'!$C$8)</f>
        <v/>
      </c>
      <c r="K15" s="17">
        <f>IF('E.8 Credit &amp; Unusual Balance'!$C$9="","",'E.8 Credit &amp; Unusual Balance'!$C$9)</f>
        <v/>
      </c>
      <c r="L15" s="18" t="inlineStr">
        <is>
          <t>E.8 Credit &amp; Unusual Balance</t>
        </is>
      </c>
    </row>
    <row r="16" ht="28" customHeight="1">
      <c r="A16" s="26" t="inlineStr">
        <is>
          <t>E.9</t>
        </is>
      </c>
      <c r="B16" s="18" t="inlineStr">
        <is>
          <t>Konfirmasi Piutang (SA 505)</t>
        </is>
      </c>
      <c r="C16" s="17" t="inlineStr">
        <is>
          <t>Tambahan</t>
        </is>
      </c>
      <c r="D16" s="20" t="inlineStr">
        <is>
          <t>X</t>
        </is>
      </c>
      <c r="E16" s="20" t="n"/>
      <c r="F16" s="20" t="n"/>
      <c r="G16" s="20" t="inlineStr">
        <is>
          <t>X</t>
        </is>
      </c>
      <c r="H16" s="20" t="n"/>
      <c r="I16" s="26">
        <f>IF('E.9 Konfirmasi Piutang (SA 505)'!$C$7="","Belum",'E.9 Konfirmasi Piutang (SA 505)'!$C$7)</f>
        <v/>
      </c>
      <c r="J16" s="17">
        <f>IF('E.9 Konfirmasi Piutang (SA 505)'!$C$8="","",'E.9 Konfirmasi Piutang (SA 505)'!$C$8)</f>
        <v/>
      </c>
      <c r="K16" s="17">
        <f>IF('E.9 Konfirmasi Piutang (SA 505)'!$C$9="","",'E.9 Konfirmasi Piutang (SA 505)'!$C$9)</f>
        <v/>
      </c>
      <c r="L16" s="18" t="inlineStr">
        <is>
          <t>E.9 Konfirmasi Piutang (SA 505)</t>
        </is>
      </c>
    </row>
    <row r="18">
      <c r="A18" s="25" t="inlineStr">
        <is>
          <t>Status dan hasil diisi di sheet KK anak masing-masing prosedur (sel kuning bagian A). Program ini dan jawaban asersi di Lead terisi otomatis.</t>
        </is>
      </c>
    </row>
    <row r="19">
      <c r="A19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 · Kesesuaian Buku Besar &amp; Detil</t>
        </is>
      </c>
      <c r="F2" s="3" t="inlineStr">
        <is>
          <t>Indeks KK</t>
        </is>
      </c>
      <c r="G2" s="4" t="inlineStr">
        <is>
          <t>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piutang per pelanggan dan cocokkan totalnya dengan buku besar dan neraca saldo.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E.2 · Penerimaan Kas Berikutnya</t>
        </is>
      </c>
      <c r="F2" s="3" t="inlineStr">
        <is>
          <t>Indeks KK</t>
        </is>
      </c>
      <c r="G2" s="4" t="inlineStr">
        <is>
          <t>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penerimaan kas setelah tanggal neraca atas sampel saldo piutang ke rekening koran dan bukti penerimaan.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E.3 · Prosedur Roll-Forward</t>
        </is>
      </c>
      <c r="E2" s="3" t="inlineStr">
        <is>
          <t>Indeks KK</t>
        </is>
      </c>
      <c r="F2" s="4" t="inlineStr">
        <is>
          <t>E.3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roll-forward saldo awal + penjualan kredit - penerimaan - retur/potongan = saldo akhir; cocokkan setiap komponen dengan sumbernya.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E.4 · Pisah Batas Piutang Usaha</t>
        </is>
      </c>
      <c r="H2" s="3" t="inlineStr">
        <is>
          <t>Indeks KK</t>
        </is>
      </c>
      <c r="I2" s="4" t="inlineStr">
        <is>
          <t>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faktur dan dokumen pengiriman lima hari kerja sebelum dan sesudah tanggal neraca; pastikan piutang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E.5 · Cadangan Penurunan Nilai</t>
        </is>
      </c>
      <c r="I2" s="3" t="inlineStr">
        <is>
          <t>Indeks KK</t>
        </is>
      </c>
      <c r="J2" s="4" t="inlineStr">
        <is>
          <t>E.5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umur piutang dan rekalkulasi cadangan kerugian kredit ekspektasian (PSAK 109); evaluasi asumsi manajemen.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E.6 · Penyesuaian Lain</t>
        </is>
      </c>
      <c r="F2" s="3" t="inlineStr">
        <is>
          <t>Indeks KK</t>
        </is>
      </c>
      <c r="G2" s="4" t="inlineStr">
        <is>
          <t>E.6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nota kredit, retur, dan potongan setelah tanggal neraca yang berkaitan dengan penjualan periode berjalan.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E.7 · Piutang Mata Uang Asing</t>
        </is>
      </c>
      <c r="F2" s="3" t="inlineStr">
        <is>
          <t>Indeks KK</t>
        </is>
      </c>
      <c r="G2" s="4" t="inlineStr">
        <is>
          <t>E.7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piutang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E.8 · Credit &amp; Unusual Balance</t>
        </is>
      </c>
      <c r="F2" s="3" t="inlineStr">
        <is>
          <t>Indeks KK</t>
        </is>
      </c>
      <c r="G2" s="4" t="inlineStr">
        <is>
          <t>E.8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saldo kredit, saldo pihak berelasi, dan saldo tidak biasa; reklasifikasi bila perlu.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E.9 · Konfirmasi Piutang (SA 505)</t>
        </is>
      </c>
      <c r="H2" s="3" t="inlineStr">
        <is>
          <t>Indeks KK</t>
        </is>
      </c>
      <c r="I2" s="4" t="inlineStr">
        <is>
          <t>E.9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positif atas sampel saldo; lakukan prosedur alternatif (penerimaan berikutnya, dokumen pengiriman) untuk yang tidak kembali.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