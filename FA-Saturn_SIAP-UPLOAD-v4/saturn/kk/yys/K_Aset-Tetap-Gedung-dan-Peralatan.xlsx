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 Lead" sheetId="1" state="visible" r:id="rId1"/>
    <sheet xmlns:r="http://schemas.openxmlformats.org/officeDocument/2006/relationships" name="K Program" sheetId="2" state="visible" r:id="rId2"/>
    <sheet xmlns:r="http://schemas.openxmlformats.org/officeDocument/2006/relationships" name="K.1 Kesesuaian Buku Pembantu" sheetId="3" state="visible" r:id="rId3"/>
    <sheet xmlns:r="http://schemas.openxmlformats.org/officeDocument/2006/relationships" name="K.2 Penambahan dan Penghapusan" sheetId="4" state="visible" r:id="rId4"/>
    <sheet xmlns:r="http://schemas.openxmlformats.org/officeDocument/2006/relationships" name="K.3 Sewa, Perbaikan, dan" sheetId="5" state="visible" r:id="rId5"/>
    <sheet xmlns:r="http://schemas.openxmlformats.org/officeDocument/2006/relationships" name="K.4 Penyusutan, Deplesi, dan" sheetId="6" state="visible" r:id="rId6"/>
    <sheet xmlns:r="http://schemas.openxmlformats.org/officeDocument/2006/relationships" name="K.5 Penurunan Nilai Properti," sheetId="7" state="visible" r:id="rId7"/>
    <sheet xmlns:r="http://schemas.openxmlformats.org/officeDocument/2006/relationships" name="Ketera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  <xf numFmtId="1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K · Aset Tetap (Gedung &amp; Peralatan)</t>
        </is>
      </c>
      <c r="I2" s="3" t="inlineStr">
        <is>
          <t>Indeks KK</t>
        </is>
      </c>
      <c r="J2" s="4" t="inlineStr">
        <is>
          <t>K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K-1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K-2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K-3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K-4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K-5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K-6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K-7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K-8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K.1, K.2, K.3</t>
        </is>
      </c>
      <c r="D21" s="19" t="n"/>
      <c r="E21" s="20">
        <f>COUNTIF('K Program'!$D$8:$D$12,"X")</f>
        <v/>
      </c>
      <c r="F21" s="20">
        <f>COUNTIFS('K Program'!$D$8:$D$12,"X",'K Program'!$I$8:$I$12,"Selesai")</f>
        <v/>
      </c>
      <c r="G21" s="20">
        <f>COUNTIFS('K Program'!$D$8:$D$12,"X",'K Program'!$J$8:$J$12,"Pengecualian")</f>
        <v/>
      </c>
      <c r="H21" s="16">
        <f>IF(E21=0,"n/a",IF(G21&gt;0,"TT",IF(F21+COUNTIFS('K Program'!$D$8:$D$12,"X",'K Program'!$I$8:$I$12,"Tidak Relevan")&lt;E21,"BD",IF(F21=0,"n/a",IF(COUNTIFS('K Program'!$D$8:$D$12,"X",'K Program'!$J$8:$J$12,"Koreksi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K.1, K.2, K.4, K.5</t>
        </is>
      </c>
      <c r="D22" s="19" t="n"/>
      <c r="E22" s="20">
        <f>COUNTIF('K Program'!$E$8:$E$12,"X")</f>
        <v/>
      </c>
      <c r="F22" s="20">
        <f>COUNTIFS('K Program'!$E$8:$E$12,"X",'K Program'!$I$8:$I$12,"Selesai")</f>
        <v/>
      </c>
      <c r="G22" s="20">
        <f>COUNTIFS('K Program'!$E$8:$E$12,"X",'K Program'!$J$8:$J$12,"Pengecualian")</f>
        <v/>
      </c>
      <c r="H22" s="16">
        <f>IF(E22=0,"n/a",IF(G22&gt;0,"TT",IF(F22+COUNTIFS('K Program'!$E$8:$E$12,"X",'K Program'!$I$8:$I$12,"Tidak Relevan")&lt;E22,"BD",IF(F22=0,"n/a",IF(COUNTIFS('K Program'!$E$8:$E$12,"X",'K Program'!$J$8:$J$12,"Koreksi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K.1, K.2, K.3</t>
        </is>
      </c>
      <c r="D23" s="19" t="n"/>
      <c r="E23" s="20">
        <f>COUNTIF('K Program'!$F$8:$F$12,"X")</f>
        <v/>
      </c>
      <c r="F23" s="20">
        <f>COUNTIFS('K Program'!$F$8:$F$12,"X",'K Program'!$I$8:$I$12,"Selesai")</f>
        <v/>
      </c>
      <c r="G23" s="20">
        <f>COUNTIFS('K Program'!$F$8:$F$12,"X",'K Program'!$J$8:$J$12,"Pengecualian")</f>
        <v/>
      </c>
      <c r="H23" s="16">
        <f>IF(E23=0,"n/a",IF(G23&gt;0,"TT",IF(F23+COUNTIFS('K Program'!$F$8:$F$12,"X",'K Program'!$I$8:$I$12,"Tidak Relevan")&lt;E23,"BD",IF(F23=0,"n/a",IF(COUNTIFS('K Program'!$F$8:$F$12,"X",'K Program'!$J$8:$J$12,"Koreksi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K.2</t>
        </is>
      </c>
      <c r="D24" s="19" t="n"/>
      <c r="E24" s="20">
        <f>COUNTIF('K Program'!$G$8:$G$12,"X")</f>
        <v/>
      </c>
      <c r="F24" s="20">
        <f>COUNTIFS('K Program'!$G$8:$G$12,"X",'K Program'!$I$8:$I$12,"Selesai")</f>
        <v/>
      </c>
      <c r="G24" s="20">
        <f>COUNTIFS('K Program'!$G$8:$G$12,"X",'K Program'!$J$8:$J$12,"Pengecualian")</f>
        <v/>
      </c>
      <c r="H24" s="16">
        <f>IF(E24=0,"n/a",IF(G24&gt;0,"TT",IF(F24+COUNTIFS('K Program'!$G$8:$G$12,"X",'K Program'!$I$8:$I$12,"Tidak Relevan")&lt;E24,"BD",IF(F24=0,"n/a",IF(COUNTIFS('K Program'!$G$8:$G$12,"X",'K Program'!$J$8:$J$12,"Koreksi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K.2, K.3</t>
        </is>
      </c>
      <c r="D25" s="19" t="n"/>
      <c r="E25" s="20">
        <f>COUNTIF('K Program'!$H$8:$H$12,"X")</f>
        <v/>
      </c>
      <c r="F25" s="20">
        <f>COUNTIFS('K Program'!$H$8:$H$12,"X",'K Program'!$I$8:$I$12,"Selesai")</f>
        <v/>
      </c>
      <c r="G25" s="20">
        <f>COUNTIFS('K Program'!$H$8:$H$12,"X",'K Program'!$J$8:$J$12,"Pengecualian")</f>
        <v/>
      </c>
      <c r="H25" s="16">
        <f>IF(E25=0,"n/a",IF(G25&gt;0,"TT",IF(F25+COUNTIFS('K Program'!$H$8:$H$12,"X",'K Program'!$I$8:$I$12,"Tidak Relevan")&lt;E25,"BD",IF(F25=0,"n/a",IF(COUNTIFS('K Program'!$H$8:$H$12,"X",'K Program'!$J$8:$J$12,"Koreksi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aset Tetap (Gedung &amp; Peralatan)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K · Aset Tetap (Gedung &amp; Peralatan)</t>
        </is>
      </c>
      <c r="K2" s="3" t="inlineStr">
        <is>
          <t>Indeks KK</t>
        </is>
      </c>
      <c r="L2" s="4" t="inlineStr">
        <is>
          <t>K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K.1</t>
        </is>
      </c>
      <c r="B8" s="18" t="inlineStr">
        <is>
          <t>Kesesuaian Buku Pembantu dengan Buku Besar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n"/>
      <c r="H8" s="20" t="n"/>
      <c r="I8" s="26">
        <f>IF('K.1 Kesesuaian Buku Pembantu'!$C$7="","Belum",'K.1 Kesesuaian Buku Pembantu'!$C$7)</f>
        <v/>
      </c>
      <c r="J8" s="17">
        <f>IF('K.1 Kesesuaian Buku Pembantu'!$C$8="","",'K.1 Kesesuaian Buku Pembantu'!$C$8)</f>
        <v/>
      </c>
      <c r="K8" s="17">
        <f>IF('K.1 Kesesuaian Buku Pembantu'!$C$9="","",'K.1 Kesesuaian Buku Pembantu'!$C$9)</f>
        <v/>
      </c>
      <c r="L8" s="18" t="inlineStr">
        <is>
          <t>K.1 Kesesuaian Buku Pembantu</t>
        </is>
      </c>
    </row>
    <row r="9" ht="28" customHeight="1">
      <c r="A9" s="26" t="inlineStr">
        <is>
          <t>K.2</t>
        </is>
      </c>
      <c r="B9" s="18" t="inlineStr">
        <is>
          <t>Penambahan dan Penghapusan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IF('K.2 Penambahan dan Penghapusan'!$C$7="","Belum",'K.2 Penambahan dan Penghapusan'!$C$7)</f>
        <v/>
      </c>
      <c r="J9" s="17">
        <f>IF('K.2 Penambahan dan Penghapusan'!$C$8="","",'K.2 Penambahan dan Penghapusan'!$C$8)</f>
        <v/>
      </c>
      <c r="K9" s="17">
        <f>IF('K.2 Penambahan dan Penghapusan'!$C$9="","",'K.2 Penambahan dan Penghapusan'!$C$9)</f>
        <v/>
      </c>
      <c r="L9" s="18" t="inlineStr">
        <is>
          <t>K.2 Penambahan dan Penghapusan</t>
        </is>
      </c>
    </row>
    <row r="10" ht="28" customHeight="1">
      <c r="A10" s="26" t="inlineStr">
        <is>
          <t>K.3</t>
        </is>
      </c>
      <c r="B10" s="18" t="inlineStr">
        <is>
          <t>Sewa, Perbaikan, dan Pemeliharaan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n"/>
      <c r="H10" s="20" t="inlineStr">
        <is>
          <t>X</t>
        </is>
      </c>
      <c r="I10" s="26">
        <f>IF('K.3 Sewa, Perbaikan, dan'!$C$7="","Belum",'K.3 Sewa, Perbaikan, dan'!$C$7)</f>
        <v/>
      </c>
      <c r="J10" s="17">
        <f>IF('K.3 Sewa, Perbaikan, dan'!$C$8="","",'K.3 Sewa, Perbaikan, dan'!$C$8)</f>
        <v/>
      </c>
      <c r="K10" s="17">
        <f>IF('K.3 Sewa, Perbaikan, dan'!$C$9="","",'K.3 Sewa, Perbaikan, dan'!$C$9)</f>
        <v/>
      </c>
      <c r="L10" s="18" t="inlineStr">
        <is>
          <t>K.3 Sewa, Perbaikan, dan</t>
        </is>
      </c>
    </row>
    <row r="11" ht="28" customHeight="1">
      <c r="A11" s="26" t="inlineStr">
        <is>
          <t>K.4</t>
        </is>
      </c>
      <c r="B11" s="18" t="inlineStr">
        <is>
          <t>Penyusutan, Deplesi, dan Amortisasi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n"/>
      <c r="G11" s="20" t="n"/>
      <c r="H11" s="20" t="n"/>
      <c r="I11" s="26">
        <f>IF('K.4 Penyusutan, Deplesi, dan'!$C$7="","Belum",'K.4 Penyusutan, Deplesi, dan'!$C$7)</f>
        <v/>
      </c>
      <c r="J11" s="17">
        <f>IF('K.4 Penyusutan, Deplesi, dan'!$C$8="","",'K.4 Penyusutan, Deplesi, dan'!$C$8)</f>
        <v/>
      </c>
      <c r="K11" s="17">
        <f>IF('K.4 Penyusutan, Deplesi, dan'!$C$9="","",'K.4 Penyusutan, Deplesi, dan'!$C$9)</f>
        <v/>
      </c>
      <c r="L11" s="18" t="inlineStr">
        <is>
          <t>K.4 Penyusutan, Deplesi, dan</t>
        </is>
      </c>
    </row>
    <row r="12" ht="28" customHeight="1">
      <c r="A12" s="26" t="inlineStr">
        <is>
          <t>K.5</t>
        </is>
      </c>
      <c r="B12" s="18" t="inlineStr">
        <is>
          <t>Penurunan Nilai Properti, Pabrik, dan Peralatan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n"/>
      <c r="H12" s="20" t="n"/>
      <c r="I12" s="26">
        <f>IF('K.5 Penurunan Nilai Properti,'!$C$7="","Belum",'K.5 Penurunan Nilai Properti,'!$C$7)</f>
        <v/>
      </c>
      <c r="J12" s="17">
        <f>IF('K.5 Penurunan Nilai Properti,'!$C$8="","",'K.5 Penurunan Nilai Properti,'!$C$8)</f>
        <v/>
      </c>
      <c r="K12" s="17">
        <f>IF('K.5 Penurunan Nilai Properti,'!$C$9="","",'K.5 Penurunan Nilai Properti,'!$C$9)</f>
        <v/>
      </c>
      <c r="L12" s="18" t="inlineStr">
        <is>
          <t>K.5 Penurunan Nilai Properti,</t>
        </is>
      </c>
    </row>
    <row r="14">
      <c r="A14" s="25" t="inlineStr">
        <is>
          <t>Status dan hasil diisi di sheet KK anak masing-masing prosedur (sel kuning bagian A). Program ini dan jawaban asersi di Lead terisi otomatis.</t>
        </is>
      </c>
    </row>
    <row r="15">
      <c r="A15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K.1 · Kesesuaian Buku Pembantu dengan Buku Besar</t>
        </is>
      </c>
      <c r="E2" s="3" t="inlineStr">
        <is>
          <t>Indeks KK</t>
        </is>
      </c>
      <c r="F2" s="4" t="inlineStr">
        <is>
          <t>K.1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register aset tetap (harga perolehan dan akumulasi penyusutan) dengan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K.2 · Penambahan dan Penghapusan</t>
        </is>
      </c>
      <c r="F2" s="3" t="inlineStr">
        <is>
          <t>Indeks KK</t>
        </is>
      </c>
      <c r="G2" s="4" t="inlineStr">
        <is>
          <t>K.2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penambahan ke faktur, BAST, dan persetujuan capex; uji penghapusan/penjualan dan laba-ruginya; inspeksi fisik sampel.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K.3 · Sewa, Perbaikan, dan Pemeliharaan</t>
        </is>
      </c>
      <c r="F2" s="3" t="inlineStr">
        <is>
          <t>Indeks KK</t>
        </is>
      </c>
      <c r="G2" s="4" t="inlineStr">
        <is>
          <t>K.3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Analisis beban perbaikan dan pemeliharaan untuk pengeluaran yang seharusnya dikapitalisasi; identifikasi sewa (PSAK 116).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9" customWidth="1" min="6" max="6"/>
    <col width="10" customWidth="1" min="7" max="7"/>
    <col width="16" customWidth="1" min="8" max="8"/>
    <col width="16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K.4 · Penyusutan, Deplesi, dan Amortisasi</t>
        </is>
      </c>
      <c r="I2" s="3" t="inlineStr">
        <is>
          <t>Indeks KK</t>
        </is>
      </c>
      <c r="J2" s="4" t="inlineStr">
        <is>
          <t>K.4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penyusutan berdasarkan umur manfaat, metode, dan nilai sisa yang ditetapkan.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Nama Aset</t>
        </is>
      </c>
      <c r="C15" s="10" t="inlineStr">
        <is>
          <t>Kelompok</t>
        </is>
      </c>
      <c r="D15" s="10" t="inlineStr">
        <is>
          <t>Tgl Perolehan</t>
        </is>
      </c>
      <c r="E15" s="10" t="inlineStr">
        <is>
          <t>Harga Perolehan</t>
        </is>
      </c>
      <c r="F15" s="10" t="inlineStr">
        <is>
          <t>Umur (Tahun)</t>
        </is>
      </c>
      <c r="G15" s="10" t="inlineStr">
        <is>
          <t>Bulan Pakai Tahun Ini</t>
        </is>
      </c>
      <c r="H15" s="10" t="inlineStr">
        <is>
          <t>Penyusutan Dihitung</t>
        </is>
      </c>
      <c r="I15" s="10" t="inlineStr">
        <is>
          <t>Penyusutan per Buku</t>
        </is>
      </c>
      <c r="J15" s="10" t="inlineStr">
        <is>
          <t>Selisih</t>
        </is>
      </c>
    </row>
    <row r="16">
      <c r="A16" s="11" t="n">
        <v>1</v>
      </c>
      <c r="B16" s="6" t="n"/>
      <c r="C16" s="6" t="n"/>
      <c r="D16" s="29" t="n"/>
      <c r="E16" s="8" t="n"/>
      <c r="F16" s="30" t="n"/>
      <c r="G16" s="30" t="n"/>
      <c r="H16" s="12">
        <f>IF(OR(E16="",F16="",G16=""),"",E16/F16/12*G16)</f>
        <v/>
      </c>
      <c r="I16" s="8" t="n"/>
      <c r="J16" s="12">
        <f>IF(OR(H16="",I16=""),"",H16-I16)</f>
        <v/>
      </c>
    </row>
    <row r="17">
      <c r="A17" s="11" t="n">
        <v>2</v>
      </c>
      <c r="B17" s="6" t="n"/>
      <c r="C17" s="6" t="n"/>
      <c r="D17" s="29" t="n"/>
      <c r="E17" s="8" t="n"/>
      <c r="F17" s="30" t="n"/>
      <c r="G17" s="30" t="n"/>
      <c r="H17" s="12">
        <f>IF(OR(E17="",F17="",G17=""),"",E17/F17/12*G17)</f>
        <v/>
      </c>
      <c r="I17" s="8" t="n"/>
      <c r="J17" s="12">
        <f>IF(OR(H17="",I17=""),"",H17-I17)</f>
        <v/>
      </c>
    </row>
    <row r="18">
      <c r="A18" s="11" t="n">
        <v>3</v>
      </c>
      <c r="B18" s="6" t="n"/>
      <c r="C18" s="6" t="n"/>
      <c r="D18" s="29" t="n"/>
      <c r="E18" s="8" t="n"/>
      <c r="F18" s="30" t="n"/>
      <c r="G18" s="30" t="n"/>
      <c r="H18" s="12">
        <f>IF(OR(E18="",F18="",G18=""),"",E18/F18/12*G18)</f>
        <v/>
      </c>
      <c r="I18" s="8" t="n"/>
      <c r="J18" s="12">
        <f>IF(OR(H18="",I18=""),"",H18-I18)</f>
        <v/>
      </c>
    </row>
    <row r="19">
      <c r="A19" s="11" t="n">
        <v>4</v>
      </c>
      <c r="B19" s="6" t="n"/>
      <c r="C19" s="6" t="n"/>
      <c r="D19" s="29" t="n"/>
      <c r="E19" s="8" t="n"/>
      <c r="F19" s="30" t="n"/>
      <c r="G19" s="30" t="n"/>
      <c r="H19" s="12">
        <f>IF(OR(E19="",F19="",G19=""),"",E19/F19/12*G19)</f>
        <v/>
      </c>
      <c r="I19" s="8" t="n"/>
      <c r="J19" s="12">
        <f>IF(OR(H19="",I19=""),"",H19-I19)</f>
        <v/>
      </c>
    </row>
    <row r="20">
      <c r="A20" s="11" t="n">
        <v>5</v>
      </c>
      <c r="B20" s="6" t="n"/>
      <c r="C20" s="6" t="n"/>
      <c r="D20" s="29" t="n"/>
      <c r="E20" s="8" t="n"/>
      <c r="F20" s="30" t="n"/>
      <c r="G20" s="30" t="n"/>
      <c r="H20" s="12">
        <f>IF(OR(E20="",F20="",G20=""),"",E20/F20/12*G20)</f>
        <v/>
      </c>
      <c r="I20" s="8" t="n"/>
      <c r="J20" s="12">
        <f>IF(OR(H20="",I20=""),"",H20-I20)</f>
        <v/>
      </c>
    </row>
    <row r="21">
      <c r="A21" s="11" t="n">
        <v>6</v>
      </c>
      <c r="B21" s="6" t="n"/>
      <c r="C21" s="6" t="n"/>
      <c r="D21" s="29" t="n"/>
      <c r="E21" s="8" t="n"/>
      <c r="F21" s="30" t="n"/>
      <c r="G21" s="30" t="n"/>
      <c r="H21" s="12">
        <f>IF(OR(E21="",F21="",G21=""),"",E21/F21/12*G21)</f>
        <v/>
      </c>
      <c r="I21" s="8" t="n"/>
      <c r="J21" s="12">
        <f>IF(OR(H21="",I21=""),"",H21-I21)</f>
        <v/>
      </c>
    </row>
    <row r="22">
      <c r="A22" s="11" t="n">
        <v>7</v>
      </c>
      <c r="B22" s="6" t="n"/>
      <c r="C22" s="6" t="n"/>
      <c r="D22" s="29" t="n"/>
      <c r="E22" s="8" t="n"/>
      <c r="F22" s="30" t="n"/>
      <c r="G22" s="30" t="n"/>
      <c r="H22" s="12">
        <f>IF(OR(E22="",F22="",G22=""),"",E22/F22/12*G22)</f>
        <v/>
      </c>
      <c r="I22" s="8" t="n"/>
      <c r="J22" s="12">
        <f>IF(OR(H22="",I22=""),"",H22-I22)</f>
        <v/>
      </c>
    </row>
    <row r="23">
      <c r="A23" s="11" t="n">
        <v>8</v>
      </c>
      <c r="B23" s="6" t="n"/>
      <c r="C23" s="6" t="n"/>
      <c r="D23" s="29" t="n"/>
      <c r="E23" s="8" t="n"/>
      <c r="F23" s="30" t="n"/>
      <c r="G23" s="30" t="n"/>
      <c r="H23" s="12">
        <f>IF(OR(E23="",F23="",G23=""),"",E23/F23/12*G23)</f>
        <v/>
      </c>
      <c r="I23" s="8" t="n"/>
      <c r="J23" s="12">
        <f>IF(OR(H23="",I23=""),"",H23-I23)</f>
        <v/>
      </c>
    </row>
    <row r="24">
      <c r="A24" s="11" t="n">
        <v>9</v>
      </c>
      <c r="B24" s="6" t="n"/>
      <c r="C24" s="6" t="n"/>
      <c r="D24" s="29" t="n"/>
      <c r="E24" s="8" t="n"/>
      <c r="F24" s="30" t="n"/>
      <c r="G24" s="30" t="n"/>
      <c r="H24" s="12">
        <f>IF(OR(E24="",F24="",G24=""),"",E24/F24/12*G24)</f>
        <v/>
      </c>
      <c r="I24" s="8" t="n"/>
      <c r="J24" s="12">
        <f>IF(OR(H24="",I24=""),"",H24-I24)</f>
        <v/>
      </c>
    </row>
    <row r="25">
      <c r="A25" s="11" t="n">
        <v>10</v>
      </c>
      <c r="B25" s="6" t="n"/>
      <c r="C25" s="6" t="n"/>
      <c r="D25" s="29" t="n"/>
      <c r="E25" s="8" t="n"/>
      <c r="F25" s="30" t="n"/>
      <c r="G25" s="30" t="n"/>
      <c r="H25" s="12">
        <f>IF(OR(E25="",F25="",G25=""),"",E25/F25/12*G25)</f>
        <v/>
      </c>
      <c r="I25" s="8" t="n"/>
      <c r="J25" s="12">
        <f>IF(OR(H25="",I25=""),"",H25-I25)</f>
        <v/>
      </c>
    </row>
    <row r="26">
      <c r="A26" s="11" t="n">
        <v>11</v>
      </c>
      <c r="B26" s="6" t="n"/>
      <c r="C26" s="6" t="n"/>
      <c r="D26" s="29" t="n"/>
      <c r="E26" s="8" t="n"/>
      <c r="F26" s="30" t="n"/>
      <c r="G26" s="30" t="n"/>
      <c r="H26" s="12">
        <f>IF(OR(E26="",F26="",G26=""),"",E26/F26/12*G26)</f>
        <v/>
      </c>
      <c r="I26" s="8" t="n"/>
      <c r="J26" s="12">
        <f>IF(OR(H26="",I26=""),"",H26-I26)</f>
        <v/>
      </c>
    </row>
    <row r="27">
      <c r="A27" s="11" t="n">
        <v>12</v>
      </c>
      <c r="B27" s="6" t="n"/>
      <c r="C27" s="6" t="n"/>
      <c r="D27" s="29" t="n"/>
      <c r="E27" s="8" t="n"/>
      <c r="F27" s="30" t="n"/>
      <c r="G27" s="30" t="n"/>
      <c r="H27" s="12">
        <f>IF(OR(E27="",F27="",G27=""),"",E27/F27/12*G27)</f>
        <v/>
      </c>
      <c r="I27" s="8" t="n"/>
      <c r="J27" s="12">
        <f>IF(OR(H27="",I27=""),"",H27-I27)</f>
        <v/>
      </c>
    </row>
    <row r="28">
      <c r="A28" s="11" t="n">
        <v>13</v>
      </c>
      <c r="B28" s="6" t="n"/>
      <c r="C28" s="6" t="n"/>
      <c r="D28" s="29" t="n"/>
      <c r="E28" s="8" t="n"/>
      <c r="F28" s="30" t="n"/>
      <c r="G28" s="30" t="n"/>
      <c r="H28" s="12">
        <f>IF(OR(E28="",F28="",G28=""),"",E28/F28/12*G28)</f>
        <v/>
      </c>
      <c r="I28" s="8" t="n"/>
      <c r="J28" s="12">
        <f>IF(OR(H28="",I28=""),"",H28-I28)</f>
        <v/>
      </c>
    </row>
    <row r="29">
      <c r="A29" s="11" t="n">
        <v>14</v>
      </c>
      <c r="B29" s="6" t="n"/>
      <c r="C29" s="6" t="n"/>
      <c r="D29" s="29" t="n"/>
      <c r="E29" s="8" t="n"/>
      <c r="F29" s="30" t="n"/>
      <c r="G29" s="30" t="n"/>
      <c r="H29" s="12">
        <f>IF(OR(E29="",F29="",G29=""),"",E29/F29/12*G29)</f>
        <v/>
      </c>
      <c r="I29" s="8" t="n"/>
      <c r="J29" s="12">
        <f>IF(OR(H29="",I29=""),"",H29-I29)</f>
        <v/>
      </c>
    </row>
    <row r="30">
      <c r="A30" s="11" t="n">
        <v>15</v>
      </c>
      <c r="B30" s="6" t="n"/>
      <c r="C30" s="6" t="n"/>
      <c r="D30" s="29" t="n"/>
      <c r="E30" s="8" t="n"/>
      <c r="F30" s="30" t="n"/>
      <c r="G30" s="30" t="n"/>
      <c r="H30" s="12">
        <f>IF(OR(E30="",F30="",G30=""),"",E30/F30/12*G30)</f>
        <v/>
      </c>
      <c r="I30" s="8" t="n"/>
      <c r="J30" s="12">
        <f>IF(OR(H30="",I30=""),"",H30-I30)</f>
        <v/>
      </c>
    </row>
    <row r="31">
      <c r="A31" s="11" t="n">
        <v>16</v>
      </c>
      <c r="B31" s="6" t="n"/>
      <c r="C31" s="6" t="n"/>
      <c r="D31" s="29" t="n"/>
      <c r="E31" s="8" t="n"/>
      <c r="F31" s="30" t="n"/>
      <c r="G31" s="30" t="n"/>
      <c r="H31" s="12">
        <f>IF(OR(E31="",F31="",G31=""),"",E31/F31/12*G31)</f>
        <v/>
      </c>
      <c r="I31" s="8" t="n"/>
      <c r="J31" s="12">
        <f>IF(OR(H31="",I31=""),"",H31-I31)</f>
        <v/>
      </c>
    </row>
    <row r="32">
      <c r="A32" s="11" t="n">
        <v>17</v>
      </c>
      <c r="B32" s="6" t="n"/>
      <c r="C32" s="6" t="n"/>
      <c r="D32" s="29" t="n"/>
      <c r="E32" s="8" t="n"/>
      <c r="F32" s="30" t="n"/>
      <c r="G32" s="30" t="n"/>
      <c r="H32" s="12">
        <f>IF(OR(E32="",F32="",G32=""),"",E32/F32/12*G32)</f>
        <v/>
      </c>
      <c r="I32" s="8" t="n"/>
      <c r="J32" s="12">
        <f>IF(OR(H32="",I32=""),"",H32-I32)</f>
        <v/>
      </c>
    </row>
    <row r="33">
      <c r="A33" s="11" t="n">
        <v>18</v>
      </c>
      <c r="B33" s="6" t="n"/>
      <c r="C33" s="6" t="n"/>
      <c r="D33" s="29" t="n"/>
      <c r="E33" s="8" t="n"/>
      <c r="F33" s="30" t="n"/>
      <c r="G33" s="30" t="n"/>
      <c r="H33" s="12">
        <f>IF(OR(E33="",F33="",G33=""),"",E33/F33/12*G33)</f>
        <v/>
      </c>
      <c r="I33" s="8" t="n"/>
      <c r="J33" s="12">
        <f>IF(OR(H33="",I33=""),"",H33-I33)</f>
        <v/>
      </c>
    </row>
    <row r="34">
      <c r="A34" s="11" t="n">
        <v>19</v>
      </c>
      <c r="B34" s="6" t="n"/>
      <c r="C34" s="6" t="n"/>
      <c r="D34" s="29" t="n"/>
      <c r="E34" s="8" t="n"/>
      <c r="F34" s="30" t="n"/>
      <c r="G34" s="30" t="n"/>
      <c r="H34" s="12">
        <f>IF(OR(E34="",F34="",G34=""),"",E34/F34/12*G34)</f>
        <v/>
      </c>
      <c r="I34" s="8" t="n"/>
      <c r="J34" s="12">
        <f>IF(OR(H34="",I34=""),"",H34-I34)</f>
        <v/>
      </c>
    </row>
    <row r="35">
      <c r="A35" s="11" t="n">
        <v>20</v>
      </c>
      <c r="B35" s="6" t="n"/>
      <c r="C35" s="6" t="n"/>
      <c r="D35" s="29" t="n"/>
      <c r="E35" s="8" t="n"/>
      <c r="F35" s="30" t="n"/>
      <c r="G35" s="30" t="n"/>
      <c r="H35" s="12">
        <f>IF(OR(E35="",F35="",G35=""),"",E35/F35/12*G35)</f>
        <v/>
      </c>
      <c r="I35" s="8" t="n"/>
      <c r="J35" s="12">
        <f>IF(OR(H35="",I35=""),"",H35-I35)</f>
        <v/>
      </c>
    </row>
    <row r="36">
      <c r="B36" s="9" t="inlineStr">
        <is>
          <t>Jumlah</t>
        </is>
      </c>
      <c r="E36" s="14">
        <f>SUM(E16:E35)</f>
        <v/>
      </c>
      <c r="H36" s="14">
        <f>SUM(H16:H35)</f>
        <v/>
      </c>
      <c r="I36" s="14">
        <f>SUM(I16:I35)</f>
        <v/>
      </c>
      <c r="J36" s="14">
        <f>SUM(J16:J35)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C38:J39"/>
    <mergeCell ref="E9:J9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K.5 · Penurunan Nilai Properti, Pabrik, dan Peralatan</t>
        </is>
      </c>
      <c r="F2" s="3" t="inlineStr">
        <is>
          <t>Indeks KK</t>
        </is>
      </c>
      <c r="G2" s="4" t="inlineStr">
        <is>
          <t>K.5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indikasi penurunan nilai (PSAK 236) dan uji jumlah terpulihkan bila ada indikasi.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